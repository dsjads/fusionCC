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angwentao\Desktop\"/>
    </mc:Choice>
  </mc:AlternateContent>
  <xr:revisionPtr revIDLastSave="0" documentId="13_ncr:1_{D552BEBF-7E11-41A5-9B7F-402AB9BFB6D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ntext_change_data" sheetId="1" r:id="rId1"/>
    <sheet name="Chart" sheetId="2" r:id="rId2"/>
    <sheet name="Closure" sheetId="3" r:id="rId3"/>
    <sheet name="Lang" sheetId="4" r:id="rId4"/>
    <sheet name="Math" sheetId="5" r:id="rId5"/>
    <sheet name="Mockito" sheetId="6" r:id="rId6"/>
    <sheet name="Time" sheetId="7" r:id="rId7"/>
  </sheets>
  <definedNames>
    <definedName name="_xlnm._FilterDatabase" localSheetId="0" hidden="1">context_change_data!$B$1:$B$199</definedName>
  </definedNames>
  <calcPr calcId="191029"/>
</workbook>
</file>

<file path=xl/calcChain.xml><?xml version="1.0" encoding="utf-8"?>
<calcChain xmlns="http://schemas.openxmlformats.org/spreadsheetml/2006/main">
  <c r="E26" i="7" l="1"/>
  <c r="F26" i="7"/>
  <c r="G26" i="7"/>
  <c r="H26" i="7"/>
  <c r="E25" i="7"/>
  <c r="F25" i="7"/>
  <c r="G25" i="7"/>
  <c r="H25" i="7"/>
  <c r="E24" i="7"/>
  <c r="F24" i="7"/>
  <c r="G24" i="7"/>
  <c r="H24" i="7"/>
  <c r="D26" i="7"/>
  <c r="D25" i="7"/>
  <c r="D24" i="7"/>
  <c r="N21" i="7"/>
  <c r="M21" i="7"/>
  <c r="L21" i="7"/>
  <c r="J21" i="7"/>
  <c r="K21" i="7"/>
  <c r="I21" i="7"/>
  <c r="E22" i="7"/>
  <c r="F22" i="7"/>
  <c r="G22" i="7"/>
  <c r="H22" i="7"/>
  <c r="D22" i="7"/>
  <c r="E34" i="6"/>
  <c r="F34" i="6"/>
  <c r="G34" i="6"/>
  <c r="H34" i="6"/>
  <c r="D34" i="6"/>
  <c r="E33" i="6"/>
  <c r="F33" i="6"/>
  <c r="G33" i="6"/>
  <c r="H33" i="6"/>
  <c r="D33" i="6"/>
  <c r="E32" i="6"/>
  <c r="F32" i="6"/>
  <c r="G32" i="6"/>
  <c r="H32" i="6"/>
  <c r="D32" i="6"/>
  <c r="N29" i="6"/>
  <c r="M29" i="6"/>
  <c r="L29" i="6"/>
  <c r="J29" i="6"/>
  <c r="K29" i="6"/>
  <c r="I29" i="6"/>
  <c r="E30" i="6"/>
  <c r="F30" i="6"/>
  <c r="G30" i="6"/>
  <c r="H30" i="6"/>
  <c r="D30" i="6"/>
  <c r="E71" i="5"/>
  <c r="F71" i="5"/>
  <c r="G71" i="5"/>
  <c r="H71" i="5"/>
  <c r="D71" i="5"/>
  <c r="E70" i="5"/>
  <c r="F70" i="5"/>
  <c r="G70" i="5"/>
  <c r="H70" i="5"/>
  <c r="D70" i="5"/>
  <c r="E69" i="5"/>
  <c r="F69" i="5"/>
  <c r="G69" i="5"/>
  <c r="H69" i="5"/>
  <c r="D69" i="5"/>
  <c r="N66" i="5"/>
  <c r="M66" i="5"/>
  <c r="L66" i="5"/>
  <c r="J66" i="5"/>
  <c r="K66" i="5"/>
  <c r="I66" i="5"/>
  <c r="E67" i="5"/>
  <c r="F67" i="5"/>
  <c r="G67" i="5"/>
  <c r="H67" i="5"/>
  <c r="D67" i="5"/>
  <c r="E35" i="4"/>
  <c r="F35" i="4"/>
  <c r="G35" i="4"/>
  <c r="H35" i="4"/>
  <c r="D35" i="4"/>
  <c r="E34" i="4"/>
  <c r="F34" i="4"/>
  <c r="G34" i="4"/>
  <c r="H34" i="4"/>
  <c r="D34" i="4"/>
  <c r="E33" i="4"/>
  <c r="F33" i="4"/>
  <c r="G33" i="4"/>
  <c r="H33" i="4"/>
  <c r="D33" i="4"/>
  <c r="N30" i="4"/>
  <c r="M30" i="4"/>
  <c r="L30" i="4"/>
  <c r="J30" i="4"/>
  <c r="K30" i="4"/>
  <c r="I30" i="4"/>
  <c r="E31" i="4"/>
  <c r="F31" i="4"/>
  <c r="G31" i="4"/>
  <c r="H31" i="4"/>
  <c r="D31" i="4"/>
  <c r="E62" i="3"/>
  <c r="F62" i="3"/>
  <c r="G62" i="3"/>
  <c r="H62" i="3"/>
  <c r="D62" i="3"/>
  <c r="E61" i="3"/>
  <c r="F61" i="3"/>
  <c r="G61" i="3"/>
  <c r="H61" i="3"/>
  <c r="D61" i="3"/>
  <c r="E60" i="3"/>
  <c r="F60" i="3"/>
  <c r="G60" i="3"/>
  <c r="H60" i="3"/>
  <c r="D60" i="3"/>
  <c r="N57" i="3"/>
  <c r="M57" i="3"/>
  <c r="L57" i="3"/>
  <c r="J57" i="3"/>
  <c r="K57" i="3"/>
  <c r="I57" i="3"/>
  <c r="E58" i="3"/>
  <c r="F58" i="3"/>
  <c r="G58" i="3"/>
  <c r="H58" i="3"/>
  <c r="D58" i="3"/>
  <c r="N19" i="2"/>
  <c r="M19" i="2"/>
  <c r="L19" i="2"/>
  <c r="J19" i="2"/>
  <c r="K19" i="2"/>
  <c r="I19" i="2"/>
  <c r="E24" i="2"/>
  <c r="F24" i="2"/>
  <c r="G24" i="2"/>
  <c r="H24" i="2"/>
  <c r="D24" i="2"/>
  <c r="E23" i="2"/>
  <c r="F23" i="2"/>
  <c r="G23" i="2"/>
  <c r="H23" i="2"/>
  <c r="D23" i="2"/>
  <c r="E22" i="2"/>
  <c r="F22" i="2"/>
  <c r="G22" i="2"/>
  <c r="H22" i="2"/>
  <c r="D22" i="2"/>
  <c r="E20" i="2"/>
  <c r="F20" i="2"/>
  <c r="G20" i="2"/>
  <c r="H20" i="2"/>
  <c r="D20" i="2"/>
</calcChain>
</file>

<file path=xl/sharedStrings.xml><?xml version="1.0" encoding="utf-8"?>
<sst xmlns="http://schemas.openxmlformats.org/spreadsheetml/2006/main" count="929" uniqueCount="225">
  <si>
    <t>class and number</t>
  </si>
  <si>
    <t>class</t>
  </si>
  <si>
    <t>class_number</t>
  </si>
  <si>
    <t>dstar</t>
  </si>
  <si>
    <t>ochiai</t>
  </si>
  <si>
    <t>barinel</t>
  </si>
  <si>
    <t>MLP</t>
  </si>
  <si>
    <t>CNN</t>
  </si>
  <si>
    <t>cc_count</t>
  </si>
  <si>
    <t>cluster_cc_count</t>
  </si>
  <si>
    <t>cc_intersection</t>
  </si>
  <si>
    <t>Chart-1</t>
  </si>
  <si>
    <t>Chart</t>
  </si>
  <si>
    <t>Chart-12</t>
  </si>
  <si>
    <t>Chart-14</t>
  </si>
  <si>
    <t>Chart-15</t>
  </si>
  <si>
    <t>Chart-18</t>
  </si>
  <si>
    <t>Chart-19</t>
  </si>
  <si>
    <t>Chart-2</t>
  </si>
  <si>
    <t>Chart-20</t>
  </si>
  <si>
    <t>Chart-21</t>
  </si>
  <si>
    <t>Chart-25</t>
  </si>
  <si>
    <t>Chart-3</t>
  </si>
  <si>
    <t>Chart-6</t>
  </si>
  <si>
    <t>Chart-7</t>
  </si>
  <si>
    <t>Chart-8</t>
  </si>
  <si>
    <t>Chart-9</t>
  </si>
  <si>
    <t>Closure-10</t>
  </si>
  <si>
    <t>Closure</t>
  </si>
  <si>
    <t>Closure-100</t>
  </si>
  <si>
    <t>Closure-103</t>
  </si>
  <si>
    <t>Closure-104</t>
  </si>
  <si>
    <t>Closure-105</t>
  </si>
  <si>
    <t>Closure-109</t>
  </si>
  <si>
    <t>Closure-11</t>
  </si>
  <si>
    <t>Closure-113</t>
  </si>
  <si>
    <t>Closure-123</t>
  </si>
  <si>
    <t>Closure-124</t>
  </si>
  <si>
    <t>Closure-126</t>
  </si>
  <si>
    <t>Closure-128</t>
  </si>
  <si>
    <t>Closure-131</t>
  </si>
  <si>
    <t>Closure-133</t>
  </si>
  <si>
    <t>Closure-2</t>
  </si>
  <si>
    <t>Closure-21</t>
  </si>
  <si>
    <t>Closure-22</t>
  </si>
  <si>
    <t>Closure-25</t>
  </si>
  <si>
    <t>Closure-30</t>
  </si>
  <si>
    <t>Closure-32</t>
  </si>
  <si>
    <t>Closure-34</t>
  </si>
  <si>
    <t>Closure-35</t>
  </si>
  <si>
    <t>Closure-38</t>
  </si>
  <si>
    <t>Closure-39</t>
  </si>
  <si>
    <t>Closure-4</t>
  </si>
  <si>
    <t>Closure-45</t>
  </si>
  <si>
    <t>Closure-46</t>
  </si>
  <si>
    <t>Closure-49</t>
  </si>
  <si>
    <t>Closure-50</t>
  </si>
  <si>
    <t>Closure-51</t>
  </si>
  <si>
    <t>Closure-52</t>
  </si>
  <si>
    <t>Closure-54</t>
  </si>
  <si>
    <t>Closure-55</t>
  </si>
  <si>
    <t>Closure-56</t>
  </si>
  <si>
    <t>Closure-57</t>
  </si>
  <si>
    <t>Closure-58</t>
  </si>
  <si>
    <t>Closure-6</t>
  </si>
  <si>
    <t>Closure-68</t>
  </si>
  <si>
    <t>Closure-71</t>
  </si>
  <si>
    <t>Closure-72</t>
  </si>
  <si>
    <t>Closure-73</t>
  </si>
  <si>
    <t>Closure-74</t>
  </si>
  <si>
    <t>Closure-76</t>
  </si>
  <si>
    <t>Closure-79</t>
  </si>
  <si>
    <t>Closure-80</t>
  </si>
  <si>
    <t>Closure-82</t>
  </si>
  <si>
    <t>Closure-85</t>
  </si>
  <si>
    <t>Closure-86</t>
  </si>
  <si>
    <t>Closure-87</t>
  </si>
  <si>
    <t>Closure-90</t>
  </si>
  <si>
    <t>Closure-94</t>
  </si>
  <si>
    <t>Closure-96</t>
  </si>
  <si>
    <t>Closure-99</t>
  </si>
  <si>
    <t>Lang-10</t>
  </si>
  <si>
    <t>Lang</t>
  </si>
  <si>
    <t>Lang-15</t>
  </si>
  <si>
    <t>Lang-17</t>
  </si>
  <si>
    <t>Lang-18</t>
  </si>
  <si>
    <t>Lang-22</t>
  </si>
  <si>
    <t>Lang-24</t>
  </si>
  <si>
    <t>Lang-26</t>
  </si>
  <si>
    <t>Lang-3</t>
  </si>
  <si>
    <t>Lang-30</t>
  </si>
  <si>
    <t>Lang-32</t>
  </si>
  <si>
    <t>Lang-33</t>
  </si>
  <si>
    <t>Lang-34</t>
  </si>
  <si>
    <t>Lang-38</t>
  </si>
  <si>
    <t>Lang-39</t>
  </si>
  <si>
    <t>Lang-41</t>
  </si>
  <si>
    <t>Lang-42</t>
  </si>
  <si>
    <t>Lang-47</t>
  </si>
  <si>
    <t>Lang-49</t>
  </si>
  <si>
    <t>Lang-50</t>
  </si>
  <si>
    <t>Lang-6</t>
  </si>
  <si>
    <t>Lang-60</t>
  </si>
  <si>
    <t>Lang-61</t>
  </si>
  <si>
    <t>Lang-63</t>
  </si>
  <si>
    <t>Lang-64</t>
  </si>
  <si>
    <t>Lang-7</t>
  </si>
  <si>
    <t>Lang-9</t>
  </si>
  <si>
    <t>Math-1</t>
  </si>
  <si>
    <t>Math</t>
  </si>
  <si>
    <t>Math-100</t>
  </si>
  <si>
    <t>Math-101</t>
  </si>
  <si>
    <t>Math-102</t>
  </si>
  <si>
    <t>Math-103</t>
  </si>
  <si>
    <t>Math-11</t>
  </si>
  <si>
    <t>Math-13</t>
  </si>
  <si>
    <t>Math-14</t>
  </si>
  <si>
    <t>Math-15</t>
  </si>
  <si>
    <t>Math-16</t>
  </si>
  <si>
    <t>Math-17</t>
  </si>
  <si>
    <t>Math-2</t>
  </si>
  <si>
    <t>Math-21</t>
  </si>
  <si>
    <t>Math-22</t>
  </si>
  <si>
    <t>Math-23</t>
  </si>
  <si>
    <t>Math-24</t>
  </si>
  <si>
    <t>Math-26</t>
  </si>
  <si>
    <t>Math-27</t>
  </si>
  <si>
    <t>Math-28</t>
  </si>
  <si>
    <t>Math-29</t>
  </si>
  <si>
    <t>Math-31</t>
  </si>
  <si>
    <t>Math-32</t>
  </si>
  <si>
    <t>Math-33</t>
  </si>
  <si>
    <t>Math-36</t>
  </si>
  <si>
    <t>Math-37</t>
  </si>
  <si>
    <t>Math-38</t>
  </si>
  <si>
    <t>Math-40</t>
  </si>
  <si>
    <t>Math-41</t>
  </si>
  <si>
    <t>Math-42</t>
  </si>
  <si>
    <t>Math-43</t>
  </si>
  <si>
    <t>Math-44</t>
  </si>
  <si>
    <t>Math-46</t>
  </si>
  <si>
    <t>Math-47</t>
  </si>
  <si>
    <t>Math-48</t>
  </si>
  <si>
    <t>Math-52</t>
  </si>
  <si>
    <t>Math-54</t>
  </si>
  <si>
    <t>Math-55</t>
  </si>
  <si>
    <t>Math-56</t>
  </si>
  <si>
    <t>Math-57</t>
  </si>
  <si>
    <t>Math-58</t>
  </si>
  <si>
    <t>Math-59</t>
  </si>
  <si>
    <t>Math-6</t>
  </si>
  <si>
    <t>Math-61</t>
  </si>
  <si>
    <t>Math-64</t>
  </si>
  <si>
    <t>Math-65</t>
  </si>
  <si>
    <t>Math-66</t>
  </si>
  <si>
    <t>Math-68</t>
  </si>
  <si>
    <t>Math-69</t>
  </si>
  <si>
    <t>Math-7</t>
  </si>
  <si>
    <t>Math-74</t>
  </si>
  <si>
    <t>Math-76</t>
  </si>
  <si>
    <t>Math-79</t>
  </si>
  <si>
    <t>Math-81</t>
  </si>
  <si>
    <t>Math-82</t>
  </si>
  <si>
    <t>Math-83</t>
  </si>
  <si>
    <t>Math-84</t>
  </si>
  <si>
    <t>Math-85</t>
  </si>
  <si>
    <t>Math-86</t>
  </si>
  <si>
    <t>Math-87</t>
  </si>
  <si>
    <t>Math-88</t>
  </si>
  <si>
    <t>Math-95</t>
  </si>
  <si>
    <t>Math-98</t>
  </si>
  <si>
    <t>Mockito-10</t>
  </si>
  <si>
    <t>Mockito</t>
  </si>
  <si>
    <t>Mockito-11</t>
  </si>
  <si>
    <t>Mockito-12</t>
  </si>
  <si>
    <t>Mockito-13</t>
  </si>
  <si>
    <t>Mockito-14</t>
  </si>
  <si>
    <t>Mockito-16</t>
  </si>
  <si>
    <t>Mockito-17</t>
  </si>
  <si>
    <t>Mockito-18</t>
  </si>
  <si>
    <t>Mockito-2</t>
  </si>
  <si>
    <t>Mockito-20</t>
  </si>
  <si>
    <t>Mockito-21</t>
  </si>
  <si>
    <t>Mockito-22</t>
  </si>
  <si>
    <t>Mockito-23</t>
  </si>
  <si>
    <t>Mockito-24</t>
  </si>
  <si>
    <t>Mockito-25</t>
  </si>
  <si>
    <t>Mockito-26</t>
  </si>
  <si>
    <t>Mockito-27</t>
  </si>
  <si>
    <t>Mockito-28</t>
  </si>
  <si>
    <t>Mockito-3</t>
  </si>
  <si>
    <t>Mockito-32</t>
  </si>
  <si>
    <t>Mockito-33</t>
  </si>
  <si>
    <t>Mockito-34</t>
  </si>
  <si>
    <t>Mockito-35</t>
  </si>
  <si>
    <t>Mockito-37</t>
  </si>
  <si>
    <t>Mockito-6</t>
  </si>
  <si>
    <t>Time-1</t>
  </si>
  <si>
    <t>Time</t>
  </si>
  <si>
    <t>Time-10</t>
  </si>
  <si>
    <t>Time-11</t>
  </si>
  <si>
    <t>Time-12</t>
  </si>
  <si>
    <t>Time-14</t>
  </si>
  <si>
    <t>Time-17</t>
  </si>
  <si>
    <t>Time-18</t>
  </si>
  <si>
    <t>Time-19</t>
  </si>
  <si>
    <t>Time-2</t>
  </si>
  <si>
    <t>Time-21</t>
  </si>
  <si>
    <t>Time-22</t>
  </si>
  <si>
    <t>Time-23</t>
  </si>
  <si>
    <t>Time-27</t>
  </si>
  <si>
    <t>Time-3</t>
  </si>
  <si>
    <t>Time-4</t>
  </si>
  <si>
    <t>Time-7</t>
  </si>
  <si>
    <t>Time-9</t>
  </si>
  <si>
    <t>average first</t>
    <phoneticPr fontId="18" type="noConversion"/>
  </si>
  <si>
    <t>total cc</t>
    <phoneticPr fontId="18" type="noConversion"/>
  </si>
  <si>
    <t>total cluster cc</t>
    <phoneticPr fontId="18" type="noConversion"/>
  </si>
  <si>
    <t>total cc intersection</t>
    <phoneticPr fontId="18" type="noConversion"/>
  </si>
  <si>
    <t>precision</t>
    <phoneticPr fontId="18" type="noConversion"/>
  </si>
  <si>
    <t>recall</t>
    <phoneticPr fontId="18" type="noConversion"/>
  </si>
  <si>
    <t>f1</t>
    <phoneticPr fontId="18" type="noConversion"/>
  </si>
  <si>
    <t>top1</t>
    <phoneticPr fontId="18" type="noConversion"/>
  </si>
  <si>
    <t>top5</t>
    <phoneticPr fontId="18" type="noConversion"/>
  </si>
  <si>
    <t>top10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</si>
</sst>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1"/>
  <sheetViews>
    <sheetView tabSelected="1" topLeftCell="A187" zoomScaleNormal="100" workbookViewId="0">
      <selection activeCell="A207" sqref="A207"/>
    </sheetView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1</v>
      </c>
      <c r="D2">
        <v>582</v>
      </c>
      <c r="E2">
        <v>582</v>
      </c>
      <c r="F2">
        <v>56</v>
      </c>
      <c r="G2">
        <v>234</v>
      </c>
      <c r="H2">
        <v>323</v>
      </c>
      <c r="I2">
        <v>37</v>
      </c>
      <c r="J2">
        <v>227</v>
      </c>
      <c r="K2">
        <v>37</v>
      </c>
    </row>
    <row r="3" spans="1:11" x14ac:dyDescent="0.25">
      <c r="A3" t="s">
        <v>13</v>
      </c>
      <c r="B3" t="s">
        <v>12</v>
      </c>
      <c r="C3">
        <v>12</v>
      </c>
      <c r="D3">
        <v>507</v>
      </c>
      <c r="E3">
        <v>507</v>
      </c>
      <c r="F3">
        <v>5</v>
      </c>
      <c r="G3">
        <v>392</v>
      </c>
      <c r="H3">
        <v>254</v>
      </c>
      <c r="I3">
        <v>3</v>
      </c>
      <c r="J3">
        <v>114</v>
      </c>
      <c r="K3">
        <v>3</v>
      </c>
    </row>
    <row r="4" spans="1:11" x14ac:dyDescent="0.25">
      <c r="A4" t="s">
        <v>14</v>
      </c>
      <c r="B4" t="s">
        <v>12</v>
      </c>
      <c r="C4">
        <v>14</v>
      </c>
      <c r="D4">
        <v>499</v>
      </c>
      <c r="E4">
        <v>499</v>
      </c>
      <c r="F4">
        <v>135</v>
      </c>
      <c r="G4">
        <v>166</v>
      </c>
      <c r="H4">
        <v>231</v>
      </c>
      <c r="I4">
        <v>0</v>
      </c>
      <c r="J4">
        <v>224</v>
      </c>
      <c r="K4">
        <v>0</v>
      </c>
    </row>
    <row r="5" spans="1:11" x14ac:dyDescent="0.25">
      <c r="A5" t="s">
        <v>15</v>
      </c>
      <c r="B5" t="s">
        <v>12</v>
      </c>
      <c r="C5">
        <v>15</v>
      </c>
      <c r="D5">
        <v>977</v>
      </c>
      <c r="E5">
        <v>972</v>
      </c>
      <c r="F5">
        <v>206</v>
      </c>
      <c r="G5">
        <v>414</v>
      </c>
      <c r="H5">
        <v>99</v>
      </c>
      <c r="I5">
        <v>2</v>
      </c>
      <c r="J5">
        <v>32</v>
      </c>
      <c r="K5">
        <v>2</v>
      </c>
    </row>
    <row r="6" spans="1:11" x14ac:dyDescent="0.25">
      <c r="A6" t="s">
        <v>16</v>
      </c>
      <c r="B6" t="s">
        <v>12</v>
      </c>
      <c r="C6">
        <v>18</v>
      </c>
      <c r="D6">
        <v>69</v>
      </c>
      <c r="E6">
        <v>69</v>
      </c>
      <c r="F6">
        <v>26</v>
      </c>
      <c r="G6">
        <v>2</v>
      </c>
      <c r="H6">
        <v>1</v>
      </c>
      <c r="I6">
        <v>0</v>
      </c>
      <c r="J6">
        <v>135</v>
      </c>
      <c r="K6">
        <v>0</v>
      </c>
    </row>
    <row r="7" spans="1:11" x14ac:dyDescent="0.25">
      <c r="A7" t="s">
        <v>17</v>
      </c>
      <c r="B7" t="s">
        <v>12</v>
      </c>
      <c r="C7">
        <v>19</v>
      </c>
      <c r="D7">
        <v>724</v>
      </c>
      <c r="E7">
        <v>724</v>
      </c>
      <c r="F7">
        <v>32</v>
      </c>
      <c r="G7">
        <v>483</v>
      </c>
      <c r="H7">
        <v>535</v>
      </c>
      <c r="I7">
        <v>0</v>
      </c>
      <c r="J7">
        <v>149</v>
      </c>
      <c r="K7">
        <v>0</v>
      </c>
    </row>
    <row r="8" spans="1:11" x14ac:dyDescent="0.25">
      <c r="A8" t="s">
        <v>18</v>
      </c>
      <c r="B8" t="s">
        <v>12</v>
      </c>
      <c r="C8">
        <v>2</v>
      </c>
      <c r="D8">
        <v>61</v>
      </c>
      <c r="E8">
        <v>55</v>
      </c>
      <c r="F8">
        <v>113</v>
      </c>
      <c r="G8">
        <v>26</v>
      </c>
      <c r="H8">
        <v>99</v>
      </c>
      <c r="I8">
        <v>16</v>
      </c>
      <c r="J8">
        <v>90</v>
      </c>
      <c r="K8">
        <v>11</v>
      </c>
    </row>
    <row r="9" spans="1:11" x14ac:dyDescent="0.25">
      <c r="A9" t="s">
        <v>19</v>
      </c>
      <c r="B9" t="s">
        <v>12</v>
      </c>
      <c r="C9">
        <v>20</v>
      </c>
      <c r="D9">
        <v>25</v>
      </c>
      <c r="E9">
        <v>25</v>
      </c>
      <c r="F9">
        <v>1</v>
      </c>
      <c r="G9">
        <v>14</v>
      </c>
      <c r="H9">
        <v>46</v>
      </c>
      <c r="I9">
        <v>94</v>
      </c>
      <c r="J9">
        <v>116</v>
      </c>
      <c r="K9">
        <v>94</v>
      </c>
    </row>
    <row r="10" spans="1:11" x14ac:dyDescent="0.25">
      <c r="A10" t="s">
        <v>20</v>
      </c>
      <c r="B10" t="s">
        <v>12</v>
      </c>
      <c r="C10">
        <v>21</v>
      </c>
      <c r="D10">
        <v>34</v>
      </c>
      <c r="E10">
        <v>34</v>
      </c>
      <c r="F10">
        <v>38</v>
      </c>
      <c r="G10">
        <v>36</v>
      </c>
      <c r="H10">
        <v>8</v>
      </c>
      <c r="I10">
        <v>1</v>
      </c>
      <c r="J10">
        <v>10</v>
      </c>
      <c r="K10">
        <v>1</v>
      </c>
    </row>
    <row r="11" spans="1:11" x14ac:dyDescent="0.25">
      <c r="A11" t="s">
        <v>21</v>
      </c>
      <c r="B11" t="s">
        <v>12</v>
      </c>
      <c r="C11">
        <v>25</v>
      </c>
      <c r="D11">
        <v>3116</v>
      </c>
      <c r="E11">
        <v>2947</v>
      </c>
      <c r="F11">
        <v>2945</v>
      </c>
      <c r="G11">
        <v>192</v>
      </c>
      <c r="H11">
        <v>1020</v>
      </c>
      <c r="I11">
        <v>1</v>
      </c>
      <c r="J11">
        <v>1</v>
      </c>
      <c r="K11">
        <v>1</v>
      </c>
    </row>
    <row r="12" spans="1:11" x14ac:dyDescent="0.25">
      <c r="A12" t="s">
        <v>22</v>
      </c>
      <c r="B12" t="s">
        <v>12</v>
      </c>
      <c r="C12">
        <v>3</v>
      </c>
      <c r="D12">
        <v>136</v>
      </c>
      <c r="E12">
        <v>136</v>
      </c>
      <c r="F12">
        <v>84</v>
      </c>
      <c r="G12">
        <v>113</v>
      </c>
      <c r="H12">
        <v>83</v>
      </c>
      <c r="I12">
        <v>2</v>
      </c>
      <c r="J12">
        <v>43</v>
      </c>
      <c r="K12">
        <v>2</v>
      </c>
    </row>
    <row r="13" spans="1:11" x14ac:dyDescent="0.25">
      <c r="A13" t="s">
        <v>23</v>
      </c>
      <c r="B13" t="s">
        <v>12</v>
      </c>
      <c r="C13">
        <v>6</v>
      </c>
      <c r="D13">
        <v>58</v>
      </c>
      <c r="E13">
        <v>58</v>
      </c>
      <c r="F13">
        <v>86</v>
      </c>
      <c r="G13">
        <v>73</v>
      </c>
      <c r="H13">
        <v>10</v>
      </c>
      <c r="I13">
        <v>221</v>
      </c>
      <c r="J13">
        <v>68</v>
      </c>
      <c r="K13">
        <v>62</v>
      </c>
    </row>
    <row r="14" spans="1:11" x14ac:dyDescent="0.25">
      <c r="A14" t="s">
        <v>24</v>
      </c>
      <c r="B14" t="s">
        <v>12</v>
      </c>
      <c r="C14">
        <v>7</v>
      </c>
      <c r="D14">
        <v>35</v>
      </c>
      <c r="E14">
        <v>35</v>
      </c>
      <c r="F14">
        <v>59</v>
      </c>
      <c r="G14">
        <v>37</v>
      </c>
      <c r="H14">
        <v>64</v>
      </c>
      <c r="I14">
        <v>12</v>
      </c>
      <c r="J14">
        <v>12</v>
      </c>
      <c r="K14">
        <v>12</v>
      </c>
    </row>
    <row r="15" spans="1:11" x14ac:dyDescent="0.25">
      <c r="A15" t="s">
        <v>25</v>
      </c>
      <c r="B15" t="s">
        <v>12</v>
      </c>
      <c r="C15">
        <v>8</v>
      </c>
      <c r="D15">
        <v>1</v>
      </c>
      <c r="E15">
        <v>1</v>
      </c>
      <c r="F15">
        <v>1</v>
      </c>
      <c r="G15">
        <v>18</v>
      </c>
      <c r="H15">
        <v>9</v>
      </c>
      <c r="I15">
        <v>2</v>
      </c>
      <c r="J15">
        <v>2</v>
      </c>
      <c r="K15">
        <v>2</v>
      </c>
    </row>
    <row r="16" spans="1:11" x14ac:dyDescent="0.25">
      <c r="A16" t="s">
        <v>26</v>
      </c>
      <c r="B16" t="s">
        <v>12</v>
      </c>
      <c r="C16">
        <v>9</v>
      </c>
      <c r="D16">
        <v>190</v>
      </c>
      <c r="E16">
        <v>187</v>
      </c>
      <c r="F16">
        <v>87</v>
      </c>
      <c r="G16">
        <v>85</v>
      </c>
      <c r="H16">
        <v>10</v>
      </c>
      <c r="I16">
        <v>1</v>
      </c>
      <c r="J16">
        <v>10</v>
      </c>
      <c r="K16">
        <v>0</v>
      </c>
    </row>
    <row r="17" spans="1:11" x14ac:dyDescent="0.25">
      <c r="A17" t="s">
        <v>27</v>
      </c>
      <c r="B17" t="s">
        <v>28</v>
      </c>
      <c r="C17">
        <v>10</v>
      </c>
      <c r="D17">
        <v>2879</v>
      </c>
      <c r="E17">
        <v>2886</v>
      </c>
      <c r="F17">
        <v>751</v>
      </c>
      <c r="G17">
        <v>1272</v>
      </c>
      <c r="H17">
        <v>214</v>
      </c>
      <c r="I17">
        <v>29</v>
      </c>
      <c r="J17">
        <v>3630</v>
      </c>
      <c r="K17">
        <v>27</v>
      </c>
    </row>
    <row r="18" spans="1:11" x14ac:dyDescent="0.25">
      <c r="A18" t="s">
        <v>29</v>
      </c>
      <c r="B18" t="s">
        <v>28</v>
      </c>
      <c r="C18">
        <v>100</v>
      </c>
      <c r="D18">
        <v>1681</v>
      </c>
      <c r="E18">
        <v>1681</v>
      </c>
      <c r="F18">
        <v>484</v>
      </c>
      <c r="G18">
        <v>109</v>
      </c>
      <c r="H18">
        <v>257</v>
      </c>
      <c r="I18">
        <v>6</v>
      </c>
      <c r="J18">
        <v>59</v>
      </c>
      <c r="K18">
        <v>6</v>
      </c>
    </row>
    <row r="19" spans="1:11" x14ac:dyDescent="0.25">
      <c r="A19" t="s">
        <v>30</v>
      </c>
      <c r="B19" t="s">
        <v>28</v>
      </c>
      <c r="C19">
        <v>103</v>
      </c>
      <c r="D19">
        <v>1988</v>
      </c>
      <c r="E19">
        <v>2039</v>
      </c>
      <c r="F19">
        <v>2392</v>
      </c>
      <c r="G19">
        <v>2789</v>
      </c>
      <c r="H19">
        <v>2573</v>
      </c>
      <c r="I19">
        <v>1331</v>
      </c>
      <c r="J19">
        <v>384</v>
      </c>
      <c r="K19">
        <v>261</v>
      </c>
    </row>
    <row r="20" spans="1:11" x14ac:dyDescent="0.25">
      <c r="A20" t="s">
        <v>31</v>
      </c>
      <c r="B20" t="s">
        <v>28</v>
      </c>
      <c r="C20">
        <v>104</v>
      </c>
      <c r="D20">
        <v>662</v>
      </c>
      <c r="E20">
        <v>662</v>
      </c>
      <c r="F20">
        <v>19</v>
      </c>
      <c r="G20">
        <v>257</v>
      </c>
      <c r="H20">
        <v>4</v>
      </c>
      <c r="I20">
        <v>11</v>
      </c>
      <c r="J20">
        <v>1545</v>
      </c>
      <c r="K20">
        <v>11</v>
      </c>
    </row>
    <row r="21" spans="1:11" x14ac:dyDescent="0.25">
      <c r="A21" t="s">
        <v>32</v>
      </c>
      <c r="B21" t="s">
        <v>28</v>
      </c>
      <c r="C21">
        <v>105</v>
      </c>
      <c r="D21">
        <v>2045</v>
      </c>
      <c r="E21">
        <v>2045</v>
      </c>
      <c r="F21">
        <v>187</v>
      </c>
      <c r="G21">
        <v>338</v>
      </c>
      <c r="H21">
        <v>2</v>
      </c>
      <c r="I21">
        <v>1</v>
      </c>
      <c r="J21">
        <v>74</v>
      </c>
      <c r="K21">
        <v>1</v>
      </c>
    </row>
    <row r="22" spans="1:11" x14ac:dyDescent="0.25">
      <c r="A22" t="s">
        <v>33</v>
      </c>
      <c r="B22" t="s">
        <v>28</v>
      </c>
      <c r="C22">
        <v>109</v>
      </c>
      <c r="D22">
        <v>1278</v>
      </c>
      <c r="E22">
        <v>1278</v>
      </c>
      <c r="F22">
        <v>7</v>
      </c>
      <c r="G22">
        <v>1014</v>
      </c>
      <c r="H22">
        <v>422</v>
      </c>
      <c r="I22">
        <v>95</v>
      </c>
      <c r="J22">
        <v>5669</v>
      </c>
      <c r="K22">
        <v>95</v>
      </c>
    </row>
    <row r="23" spans="1:11" x14ac:dyDescent="0.25">
      <c r="A23" t="s">
        <v>34</v>
      </c>
      <c r="B23" t="s">
        <v>28</v>
      </c>
      <c r="C23">
        <v>11</v>
      </c>
      <c r="D23">
        <v>1023</v>
      </c>
      <c r="E23">
        <v>1017</v>
      </c>
      <c r="F23">
        <v>457</v>
      </c>
      <c r="G23">
        <v>2579</v>
      </c>
      <c r="H23">
        <v>3170</v>
      </c>
      <c r="I23">
        <v>2261</v>
      </c>
      <c r="J23">
        <v>2478</v>
      </c>
      <c r="K23">
        <v>2257</v>
      </c>
    </row>
    <row r="24" spans="1:11" x14ac:dyDescent="0.25">
      <c r="A24" t="s">
        <v>35</v>
      </c>
      <c r="B24" t="s">
        <v>28</v>
      </c>
      <c r="C24">
        <v>113</v>
      </c>
      <c r="D24">
        <v>2998</v>
      </c>
      <c r="E24">
        <v>2992</v>
      </c>
      <c r="F24">
        <v>60</v>
      </c>
      <c r="G24">
        <v>682</v>
      </c>
      <c r="H24">
        <v>1787</v>
      </c>
      <c r="I24">
        <v>25</v>
      </c>
      <c r="J24">
        <v>650</v>
      </c>
      <c r="K24">
        <v>25</v>
      </c>
    </row>
    <row r="25" spans="1:11" x14ac:dyDescent="0.25">
      <c r="A25" t="s">
        <v>36</v>
      </c>
      <c r="B25" t="s">
        <v>28</v>
      </c>
      <c r="C25">
        <v>123</v>
      </c>
      <c r="D25">
        <v>1921</v>
      </c>
      <c r="E25">
        <v>1915</v>
      </c>
      <c r="F25">
        <v>269</v>
      </c>
      <c r="G25">
        <v>586</v>
      </c>
      <c r="H25">
        <v>197</v>
      </c>
      <c r="I25">
        <v>117</v>
      </c>
      <c r="J25">
        <v>3896</v>
      </c>
      <c r="K25">
        <v>116</v>
      </c>
    </row>
    <row r="26" spans="1:11" x14ac:dyDescent="0.25">
      <c r="A26" t="s">
        <v>37</v>
      </c>
      <c r="B26" t="s">
        <v>28</v>
      </c>
      <c r="C26">
        <v>124</v>
      </c>
      <c r="D26">
        <v>2929</v>
      </c>
      <c r="E26">
        <v>2929</v>
      </c>
      <c r="F26">
        <v>64</v>
      </c>
      <c r="G26">
        <v>1241</v>
      </c>
      <c r="H26">
        <v>1981</v>
      </c>
      <c r="I26">
        <v>4</v>
      </c>
      <c r="J26">
        <v>180</v>
      </c>
      <c r="K26">
        <v>4</v>
      </c>
    </row>
    <row r="27" spans="1:11" x14ac:dyDescent="0.25">
      <c r="A27" t="s">
        <v>38</v>
      </c>
      <c r="B27" t="s">
        <v>28</v>
      </c>
      <c r="C27">
        <v>126</v>
      </c>
      <c r="D27">
        <v>3169</v>
      </c>
      <c r="E27">
        <v>3154</v>
      </c>
      <c r="F27">
        <v>910</v>
      </c>
      <c r="G27">
        <v>1738</v>
      </c>
      <c r="H27">
        <v>688</v>
      </c>
      <c r="I27">
        <v>4</v>
      </c>
      <c r="J27">
        <v>185</v>
      </c>
      <c r="K27">
        <v>4</v>
      </c>
    </row>
    <row r="28" spans="1:11" x14ac:dyDescent="0.25">
      <c r="A28" t="s">
        <v>39</v>
      </c>
      <c r="B28" t="s">
        <v>28</v>
      </c>
      <c r="C28">
        <v>128</v>
      </c>
      <c r="D28">
        <v>1557</v>
      </c>
      <c r="E28">
        <v>1557</v>
      </c>
      <c r="F28">
        <v>33</v>
      </c>
      <c r="G28">
        <v>413</v>
      </c>
      <c r="H28">
        <v>1528</v>
      </c>
      <c r="I28">
        <v>61</v>
      </c>
      <c r="J28">
        <v>3892</v>
      </c>
      <c r="K28">
        <v>61</v>
      </c>
    </row>
    <row r="29" spans="1:11" x14ac:dyDescent="0.25">
      <c r="A29" t="s">
        <v>40</v>
      </c>
      <c r="B29" t="s">
        <v>28</v>
      </c>
      <c r="C29">
        <v>131</v>
      </c>
      <c r="D29">
        <v>2710</v>
      </c>
      <c r="E29">
        <v>2704</v>
      </c>
      <c r="F29">
        <v>890</v>
      </c>
      <c r="G29">
        <v>1578</v>
      </c>
      <c r="H29">
        <v>998</v>
      </c>
      <c r="I29">
        <v>323</v>
      </c>
      <c r="J29">
        <v>2670</v>
      </c>
      <c r="K29">
        <v>312</v>
      </c>
    </row>
    <row r="30" spans="1:11" x14ac:dyDescent="0.25">
      <c r="A30" t="s">
        <v>41</v>
      </c>
      <c r="B30" t="s">
        <v>28</v>
      </c>
      <c r="C30">
        <v>133</v>
      </c>
      <c r="D30">
        <v>1200</v>
      </c>
      <c r="E30">
        <v>1200</v>
      </c>
      <c r="F30">
        <v>787</v>
      </c>
      <c r="G30">
        <v>1100</v>
      </c>
      <c r="H30">
        <v>363</v>
      </c>
      <c r="I30">
        <v>2269</v>
      </c>
      <c r="J30">
        <v>5095</v>
      </c>
      <c r="K30">
        <v>2242</v>
      </c>
    </row>
    <row r="31" spans="1:11" x14ac:dyDescent="0.25">
      <c r="A31" t="s">
        <v>42</v>
      </c>
      <c r="B31" t="s">
        <v>28</v>
      </c>
      <c r="C31">
        <v>2</v>
      </c>
      <c r="D31">
        <v>3873</v>
      </c>
      <c r="E31">
        <v>3872</v>
      </c>
      <c r="F31">
        <v>296</v>
      </c>
      <c r="G31">
        <v>1879</v>
      </c>
      <c r="H31">
        <v>3057</v>
      </c>
      <c r="I31">
        <v>16</v>
      </c>
      <c r="J31">
        <v>2729</v>
      </c>
      <c r="K31">
        <v>16</v>
      </c>
    </row>
    <row r="32" spans="1:11" x14ac:dyDescent="0.25">
      <c r="A32" t="s">
        <v>43</v>
      </c>
      <c r="B32" t="s">
        <v>28</v>
      </c>
      <c r="C32">
        <v>21</v>
      </c>
      <c r="D32">
        <v>3052</v>
      </c>
      <c r="E32">
        <v>3021</v>
      </c>
      <c r="F32">
        <v>15</v>
      </c>
      <c r="G32">
        <v>559</v>
      </c>
      <c r="H32">
        <v>16</v>
      </c>
      <c r="I32">
        <v>373</v>
      </c>
      <c r="J32">
        <v>3596</v>
      </c>
      <c r="K32">
        <v>286</v>
      </c>
    </row>
    <row r="33" spans="1:11" x14ac:dyDescent="0.25">
      <c r="A33" t="s">
        <v>44</v>
      </c>
      <c r="B33" t="s">
        <v>28</v>
      </c>
      <c r="C33">
        <v>22</v>
      </c>
      <c r="D33">
        <v>3051</v>
      </c>
      <c r="E33">
        <v>3018</v>
      </c>
      <c r="F33">
        <v>15</v>
      </c>
      <c r="G33">
        <v>561</v>
      </c>
      <c r="H33">
        <v>1115</v>
      </c>
      <c r="I33">
        <v>373</v>
      </c>
      <c r="J33">
        <v>3596</v>
      </c>
      <c r="K33">
        <v>286</v>
      </c>
    </row>
    <row r="34" spans="1:11" x14ac:dyDescent="0.25">
      <c r="A34" t="s">
        <v>45</v>
      </c>
      <c r="B34" t="s">
        <v>28</v>
      </c>
      <c r="C34">
        <v>25</v>
      </c>
      <c r="D34">
        <v>3696</v>
      </c>
      <c r="E34">
        <v>3688</v>
      </c>
      <c r="F34">
        <v>253</v>
      </c>
      <c r="G34">
        <v>314</v>
      </c>
      <c r="H34">
        <v>3341</v>
      </c>
      <c r="I34">
        <v>530</v>
      </c>
      <c r="J34">
        <v>2553</v>
      </c>
      <c r="K34">
        <v>530</v>
      </c>
    </row>
    <row r="35" spans="1:11" x14ac:dyDescent="0.25">
      <c r="A35" t="s">
        <v>46</v>
      </c>
      <c r="B35" t="s">
        <v>28</v>
      </c>
      <c r="C35">
        <v>30</v>
      </c>
      <c r="D35">
        <v>104</v>
      </c>
      <c r="E35">
        <v>104</v>
      </c>
      <c r="F35">
        <v>136</v>
      </c>
      <c r="G35">
        <v>116</v>
      </c>
      <c r="H35">
        <v>3064</v>
      </c>
      <c r="I35">
        <v>146</v>
      </c>
      <c r="J35">
        <v>96</v>
      </c>
      <c r="K35">
        <v>96</v>
      </c>
    </row>
    <row r="36" spans="1:11" x14ac:dyDescent="0.25">
      <c r="A36" t="s">
        <v>47</v>
      </c>
      <c r="B36" t="s">
        <v>28</v>
      </c>
      <c r="C36">
        <v>32</v>
      </c>
      <c r="D36">
        <v>2714</v>
      </c>
      <c r="E36">
        <v>2686</v>
      </c>
      <c r="F36">
        <v>19</v>
      </c>
      <c r="G36">
        <v>150</v>
      </c>
      <c r="H36">
        <v>621</v>
      </c>
      <c r="I36">
        <v>119</v>
      </c>
      <c r="J36">
        <v>2660</v>
      </c>
      <c r="K36">
        <v>105</v>
      </c>
    </row>
    <row r="37" spans="1:11" x14ac:dyDescent="0.25">
      <c r="A37" t="s">
        <v>48</v>
      </c>
      <c r="B37" t="s">
        <v>28</v>
      </c>
      <c r="C37">
        <v>34</v>
      </c>
      <c r="D37">
        <v>15</v>
      </c>
      <c r="E37">
        <v>15</v>
      </c>
      <c r="F37">
        <v>17</v>
      </c>
      <c r="G37">
        <v>17</v>
      </c>
      <c r="H37">
        <v>32</v>
      </c>
      <c r="I37">
        <v>1891</v>
      </c>
      <c r="J37">
        <v>3660</v>
      </c>
      <c r="K37">
        <v>1891</v>
      </c>
    </row>
    <row r="38" spans="1:11" x14ac:dyDescent="0.25">
      <c r="A38" t="s">
        <v>49</v>
      </c>
      <c r="B38" t="s">
        <v>28</v>
      </c>
      <c r="C38">
        <v>35</v>
      </c>
      <c r="D38">
        <v>4643</v>
      </c>
      <c r="E38">
        <v>4602</v>
      </c>
      <c r="F38">
        <v>54</v>
      </c>
      <c r="G38">
        <v>426</v>
      </c>
      <c r="H38">
        <v>1119</v>
      </c>
      <c r="I38">
        <v>1014</v>
      </c>
      <c r="J38">
        <v>2292</v>
      </c>
      <c r="K38">
        <v>995</v>
      </c>
    </row>
    <row r="39" spans="1:11" x14ac:dyDescent="0.25">
      <c r="A39" t="s">
        <v>50</v>
      </c>
      <c r="B39" t="s">
        <v>28</v>
      </c>
      <c r="C39">
        <v>38</v>
      </c>
      <c r="D39">
        <v>1369</v>
      </c>
      <c r="E39">
        <v>1369</v>
      </c>
      <c r="F39">
        <v>87</v>
      </c>
      <c r="G39">
        <v>858</v>
      </c>
      <c r="H39">
        <v>894</v>
      </c>
      <c r="I39">
        <v>1664</v>
      </c>
      <c r="J39">
        <v>3634</v>
      </c>
      <c r="K39">
        <v>1663</v>
      </c>
    </row>
    <row r="40" spans="1:11" x14ac:dyDescent="0.25">
      <c r="A40" t="s">
        <v>51</v>
      </c>
      <c r="B40" t="s">
        <v>28</v>
      </c>
      <c r="C40">
        <v>39</v>
      </c>
      <c r="D40">
        <v>757</v>
      </c>
      <c r="E40">
        <v>757</v>
      </c>
      <c r="F40">
        <v>407</v>
      </c>
      <c r="G40">
        <v>268</v>
      </c>
      <c r="H40">
        <v>79</v>
      </c>
      <c r="I40">
        <v>48</v>
      </c>
      <c r="J40">
        <v>6520</v>
      </c>
      <c r="K40">
        <v>48</v>
      </c>
    </row>
    <row r="41" spans="1:11" x14ac:dyDescent="0.25">
      <c r="A41" t="s">
        <v>52</v>
      </c>
      <c r="B41" t="s">
        <v>28</v>
      </c>
      <c r="C41">
        <v>4</v>
      </c>
      <c r="D41">
        <v>5064</v>
      </c>
      <c r="E41">
        <v>5063</v>
      </c>
      <c r="F41">
        <v>1481</v>
      </c>
      <c r="G41">
        <v>2191</v>
      </c>
      <c r="H41">
        <v>3275</v>
      </c>
      <c r="I41">
        <v>332</v>
      </c>
      <c r="J41">
        <v>2669</v>
      </c>
      <c r="K41">
        <v>182</v>
      </c>
    </row>
    <row r="42" spans="1:11" x14ac:dyDescent="0.25">
      <c r="A42" t="s">
        <v>53</v>
      </c>
      <c r="B42" t="s">
        <v>28</v>
      </c>
      <c r="C42">
        <v>45</v>
      </c>
      <c r="D42">
        <v>39</v>
      </c>
      <c r="E42">
        <v>39</v>
      </c>
      <c r="F42">
        <v>248</v>
      </c>
      <c r="G42">
        <v>241</v>
      </c>
      <c r="H42">
        <v>1488</v>
      </c>
      <c r="I42">
        <v>72</v>
      </c>
      <c r="J42">
        <v>156</v>
      </c>
      <c r="K42">
        <v>72</v>
      </c>
    </row>
    <row r="43" spans="1:11" x14ac:dyDescent="0.25">
      <c r="A43" t="s">
        <v>54</v>
      </c>
      <c r="B43" t="s">
        <v>28</v>
      </c>
      <c r="C43">
        <v>46</v>
      </c>
      <c r="D43">
        <v>1041</v>
      </c>
      <c r="E43">
        <v>1041</v>
      </c>
      <c r="F43">
        <v>335</v>
      </c>
      <c r="G43">
        <v>135</v>
      </c>
      <c r="H43">
        <v>802</v>
      </c>
      <c r="I43">
        <v>10</v>
      </c>
      <c r="J43">
        <v>2105</v>
      </c>
      <c r="K43">
        <v>9</v>
      </c>
    </row>
    <row r="44" spans="1:11" x14ac:dyDescent="0.25">
      <c r="A44" t="s">
        <v>55</v>
      </c>
      <c r="B44" t="s">
        <v>28</v>
      </c>
      <c r="C44">
        <v>49</v>
      </c>
      <c r="D44">
        <v>2437</v>
      </c>
      <c r="E44">
        <v>2443</v>
      </c>
      <c r="F44">
        <v>1942</v>
      </c>
      <c r="G44">
        <v>462</v>
      </c>
      <c r="H44">
        <v>2769</v>
      </c>
      <c r="I44">
        <v>1463</v>
      </c>
      <c r="J44">
        <v>1641</v>
      </c>
      <c r="K44">
        <v>1427</v>
      </c>
    </row>
    <row r="45" spans="1:11" x14ac:dyDescent="0.25">
      <c r="A45" t="s">
        <v>56</v>
      </c>
      <c r="B45" t="s">
        <v>28</v>
      </c>
      <c r="C45">
        <v>50</v>
      </c>
      <c r="D45">
        <v>2537</v>
      </c>
      <c r="E45">
        <v>2537</v>
      </c>
      <c r="F45">
        <v>1290</v>
      </c>
      <c r="G45">
        <v>806</v>
      </c>
      <c r="H45">
        <v>1554</v>
      </c>
      <c r="I45">
        <v>17</v>
      </c>
      <c r="J45">
        <v>88</v>
      </c>
      <c r="K45">
        <v>17</v>
      </c>
    </row>
    <row r="46" spans="1:11" x14ac:dyDescent="0.25">
      <c r="A46" t="s">
        <v>57</v>
      </c>
      <c r="B46" t="s">
        <v>28</v>
      </c>
      <c r="C46">
        <v>51</v>
      </c>
      <c r="D46">
        <v>1334</v>
      </c>
      <c r="E46">
        <v>1334</v>
      </c>
      <c r="F46">
        <v>41</v>
      </c>
      <c r="G46">
        <v>780</v>
      </c>
      <c r="H46">
        <v>595</v>
      </c>
      <c r="I46">
        <v>1586</v>
      </c>
      <c r="J46">
        <v>3465</v>
      </c>
      <c r="K46">
        <v>1586</v>
      </c>
    </row>
    <row r="47" spans="1:11" x14ac:dyDescent="0.25">
      <c r="A47" t="s">
        <v>58</v>
      </c>
      <c r="B47" t="s">
        <v>28</v>
      </c>
      <c r="C47">
        <v>52</v>
      </c>
      <c r="D47">
        <v>1446</v>
      </c>
      <c r="E47">
        <v>1446</v>
      </c>
      <c r="F47">
        <v>57</v>
      </c>
      <c r="G47">
        <v>1184</v>
      </c>
      <c r="H47">
        <v>920</v>
      </c>
      <c r="I47">
        <v>25</v>
      </c>
      <c r="J47">
        <v>3459</v>
      </c>
      <c r="K47">
        <v>25</v>
      </c>
    </row>
    <row r="48" spans="1:11" x14ac:dyDescent="0.25">
      <c r="A48" t="s">
        <v>59</v>
      </c>
      <c r="B48" t="s">
        <v>28</v>
      </c>
      <c r="C48">
        <v>54</v>
      </c>
      <c r="D48">
        <v>459</v>
      </c>
      <c r="E48">
        <v>459</v>
      </c>
      <c r="F48">
        <v>1185</v>
      </c>
      <c r="G48">
        <v>547</v>
      </c>
      <c r="H48">
        <v>2525</v>
      </c>
      <c r="I48">
        <v>6346</v>
      </c>
      <c r="J48">
        <v>2401</v>
      </c>
      <c r="K48">
        <v>2401</v>
      </c>
    </row>
    <row r="49" spans="1:11" x14ac:dyDescent="0.25">
      <c r="A49" t="s">
        <v>60</v>
      </c>
      <c r="B49" t="s">
        <v>28</v>
      </c>
      <c r="C49">
        <v>55</v>
      </c>
      <c r="D49">
        <v>2674</v>
      </c>
      <c r="E49">
        <v>2674</v>
      </c>
      <c r="F49">
        <v>814</v>
      </c>
      <c r="G49">
        <v>1916</v>
      </c>
      <c r="H49">
        <v>1033</v>
      </c>
      <c r="I49">
        <v>21</v>
      </c>
      <c r="J49">
        <v>87</v>
      </c>
      <c r="K49">
        <v>21</v>
      </c>
    </row>
    <row r="50" spans="1:11" x14ac:dyDescent="0.25">
      <c r="A50" t="s">
        <v>61</v>
      </c>
      <c r="B50" t="s">
        <v>28</v>
      </c>
      <c r="C50">
        <v>56</v>
      </c>
      <c r="D50">
        <v>1112</v>
      </c>
      <c r="E50">
        <v>1090</v>
      </c>
      <c r="F50">
        <v>123</v>
      </c>
      <c r="G50">
        <v>43</v>
      </c>
      <c r="H50">
        <v>187</v>
      </c>
      <c r="I50">
        <v>48</v>
      </c>
      <c r="J50">
        <v>5231</v>
      </c>
      <c r="K50">
        <v>46</v>
      </c>
    </row>
    <row r="51" spans="1:11" x14ac:dyDescent="0.25">
      <c r="A51" t="s">
        <v>62</v>
      </c>
      <c r="B51" t="s">
        <v>28</v>
      </c>
      <c r="C51">
        <v>57</v>
      </c>
      <c r="D51">
        <v>1274</v>
      </c>
      <c r="E51">
        <v>1274</v>
      </c>
      <c r="F51">
        <v>39</v>
      </c>
      <c r="G51">
        <v>703</v>
      </c>
      <c r="H51">
        <v>54</v>
      </c>
      <c r="I51">
        <v>11</v>
      </c>
      <c r="J51">
        <v>5902</v>
      </c>
      <c r="K51">
        <v>11</v>
      </c>
    </row>
    <row r="52" spans="1:11" x14ac:dyDescent="0.25">
      <c r="A52" t="s">
        <v>63</v>
      </c>
      <c r="B52" t="s">
        <v>28</v>
      </c>
      <c r="C52">
        <v>58</v>
      </c>
      <c r="D52">
        <v>2486</v>
      </c>
      <c r="E52">
        <v>2486</v>
      </c>
      <c r="F52">
        <v>1133</v>
      </c>
      <c r="G52">
        <v>1719</v>
      </c>
      <c r="H52">
        <v>353</v>
      </c>
      <c r="I52">
        <v>2</v>
      </c>
      <c r="J52">
        <v>165</v>
      </c>
      <c r="K52">
        <v>2</v>
      </c>
    </row>
    <row r="53" spans="1:11" x14ac:dyDescent="0.25">
      <c r="A53" t="s">
        <v>64</v>
      </c>
      <c r="B53" t="s">
        <v>28</v>
      </c>
      <c r="C53">
        <v>6</v>
      </c>
      <c r="D53">
        <v>5019</v>
      </c>
      <c r="E53">
        <v>4998</v>
      </c>
      <c r="F53">
        <v>243</v>
      </c>
      <c r="G53">
        <v>1066</v>
      </c>
      <c r="H53">
        <v>2386</v>
      </c>
      <c r="I53">
        <v>447</v>
      </c>
      <c r="J53">
        <v>2521</v>
      </c>
      <c r="K53">
        <v>447</v>
      </c>
    </row>
    <row r="54" spans="1:11" x14ac:dyDescent="0.25">
      <c r="A54" t="s">
        <v>65</v>
      </c>
      <c r="B54" t="s">
        <v>28</v>
      </c>
      <c r="C54">
        <v>68</v>
      </c>
      <c r="D54">
        <v>1064</v>
      </c>
      <c r="E54">
        <v>1064</v>
      </c>
      <c r="F54">
        <v>28</v>
      </c>
      <c r="G54">
        <v>613</v>
      </c>
      <c r="H54">
        <v>684</v>
      </c>
      <c r="I54">
        <v>1</v>
      </c>
      <c r="J54">
        <v>3215</v>
      </c>
      <c r="K54">
        <v>1</v>
      </c>
    </row>
    <row r="55" spans="1:11" x14ac:dyDescent="0.25">
      <c r="A55" t="s">
        <v>66</v>
      </c>
      <c r="B55" t="s">
        <v>28</v>
      </c>
      <c r="C55">
        <v>71</v>
      </c>
      <c r="D55">
        <v>4504</v>
      </c>
      <c r="E55">
        <v>4423</v>
      </c>
      <c r="F55">
        <v>455</v>
      </c>
      <c r="G55">
        <v>2658</v>
      </c>
      <c r="H55">
        <v>2392</v>
      </c>
      <c r="I55">
        <v>69</v>
      </c>
      <c r="J55">
        <v>2354</v>
      </c>
      <c r="K55">
        <v>69</v>
      </c>
    </row>
    <row r="56" spans="1:11" x14ac:dyDescent="0.25">
      <c r="A56" t="s">
        <v>67</v>
      </c>
      <c r="B56" t="s">
        <v>28</v>
      </c>
      <c r="C56">
        <v>72</v>
      </c>
      <c r="D56">
        <v>1694</v>
      </c>
      <c r="E56">
        <v>1822</v>
      </c>
      <c r="F56">
        <v>483</v>
      </c>
      <c r="G56">
        <v>1937</v>
      </c>
      <c r="H56">
        <v>1697</v>
      </c>
      <c r="I56">
        <v>141</v>
      </c>
      <c r="J56">
        <v>325</v>
      </c>
      <c r="K56">
        <v>141</v>
      </c>
    </row>
    <row r="57" spans="1:11" x14ac:dyDescent="0.25">
      <c r="A57" t="s">
        <v>68</v>
      </c>
      <c r="B57" t="s">
        <v>28</v>
      </c>
      <c r="C57">
        <v>73</v>
      </c>
      <c r="D57">
        <v>1304</v>
      </c>
      <c r="E57">
        <v>1304</v>
      </c>
      <c r="F57">
        <v>195</v>
      </c>
      <c r="G57">
        <v>656</v>
      </c>
      <c r="H57">
        <v>784</v>
      </c>
      <c r="I57">
        <v>456</v>
      </c>
      <c r="J57">
        <v>3251</v>
      </c>
      <c r="K57">
        <v>454</v>
      </c>
    </row>
    <row r="58" spans="1:11" x14ac:dyDescent="0.25">
      <c r="A58" t="s">
        <v>69</v>
      </c>
      <c r="B58" t="s">
        <v>28</v>
      </c>
      <c r="C58">
        <v>74</v>
      </c>
      <c r="D58">
        <v>2435</v>
      </c>
      <c r="E58">
        <v>2435</v>
      </c>
      <c r="F58">
        <v>274</v>
      </c>
      <c r="G58">
        <v>305</v>
      </c>
      <c r="H58">
        <v>625</v>
      </c>
      <c r="I58">
        <v>12</v>
      </c>
      <c r="J58">
        <v>156</v>
      </c>
      <c r="K58">
        <v>12</v>
      </c>
    </row>
    <row r="59" spans="1:11" x14ac:dyDescent="0.25">
      <c r="A59" t="s">
        <v>70</v>
      </c>
      <c r="B59" t="s">
        <v>28</v>
      </c>
      <c r="C59">
        <v>76</v>
      </c>
      <c r="D59">
        <v>2976</v>
      </c>
      <c r="E59">
        <v>2973</v>
      </c>
      <c r="F59">
        <v>155</v>
      </c>
      <c r="G59">
        <v>328</v>
      </c>
      <c r="H59">
        <v>2105</v>
      </c>
      <c r="I59">
        <v>13</v>
      </c>
      <c r="J59">
        <v>61</v>
      </c>
      <c r="K59">
        <v>13</v>
      </c>
    </row>
    <row r="60" spans="1:11" x14ac:dyDescent="0.25">
      <c r="A60" t="s">
        <v>71</v>
      </c>
      <c r="B60" t="s">
        <v>28</v>
      </c>
      <c r="C60">
        <v>79</v>
      </c>
      <c r="D60">
        <v>2206</v>
      </c>
      <c r="E60">
        <v>2186</v>
      </c>
      <c r="F60">
        <v>623</v>
      </c>
      <c r="G60">
        <v>819</v>
      </c>
      <c r="H60">
        <v>149</v>
      </c>
      <c r="I60">
        <v>32</v>
      </c>
      <c r="J60">
        <v>5110</v>
      </c>
      <c r="K60">
        <v>32</v>
      </c>
    </row>
    <row r="61" spans="1:11" x14ac:dyDescent="0.25">
      <c r="A61" t="s">
        <v>72</v>
      </c>
      <c r="B61" t="s">
        <v>28</v>
      </c>
      <c r="C61">
        <v>80</v>
      </c>
      <c r="D61">
        <v>1225</v>
      </c>
      <c r="E61">
        <v>1225</v>
      </c>
      <c r="F61">
        <v>255</v>
      </c>
      <c r="G61">
        <v>627</v>
      </c>
      <c r="H61">
        <v>416</v>
      </c>
      <c r="I61">
        <v>6</v>
      </c>
      <c r="J61">
        <v>5590</v>
      </c>
      <c r="K61">
        <v>6</v>
      </c>
    </row>
    <row r="62" spans="1:11" x14ac:dyDescent="0.25">
      <c r="A62" t="s">
        <v>73</v>
      </c>
      <c r="B62" t="s">
        <v>28</v>
      </c>
      <c r="C62">
        <v>82</v>
      </c>
      <c r="D62">
        <v>148</v>
      </c>
      <c r="E62">
        <v>148</v>
      </c>
      <c r="F62">
        <v>186</v>
      </c>
      <c r="G62">
        <v>1251</v>
      </c>
      <c r="H62">
        <v>3322</v>
      </c>
      <c r="I62">
        <v>5774</v>
      </c>
      <c r="J62">
        <v>4164</v>
      </c>
      <c r="K62">
        <v>3582</v>
      </c>
    </row>
    <row r="63" spans="1:11" x14ac:dyDescent="0.25">
      <c r="A63" t="s">
        <v>74</v>
      </c>
      <c r="B63" t="s">
        <v>28</v>
      </c>
      <c r="C63">
        <v>85</v>
      </c>
      <c r="D63">
        <v>2354</v>
      </c>
      <c r="E63">
        <v>2354</v>
      </c>
      <c r="F63">
        <v>1409</v>
      </c>
      <c r="G63">
        <v>48</v>
      </c>
      <c r="H63">
        <v>1445</v>
      </c>
      <c r="I63">
        <v>52</v>
      </c>
      <c r="J63">
        <v>68</v>
      </c>
      <c r="K63">
        <v>52</v>
      </c>
    </row>
    <row r="64" spans="1:11" x14ac:dyDescent="0.25">
      <c r="A64" t="s">
        <v>75</v>
      </c>
      <c r="B64" t="s">
        <v>28</v>
      </c>
      <c r="C64">
        <v>86</v>
      </c>
      <c r="D64">
        <v>5746</v>
      </c>
      <c r="E64">
        <v>5566</v>
      </c>
      <c r="F64">
        <v>309</v>
      </c>
      <c r="G64">
        <v>2295</v>
      </c>
      <c r="H64">
        <v>204</v>
      </c>
      <c r="I64">
        <v>11</v>
      </c>
      <c r="J64">
        <v>2128</v>
      </c>
      <c r="K64">
        <v>11</v>
      </c>
    </row>
    <row r="65" spans="1:11" x14ac:dyDescent="0.25">
      <c r="A65" t="s">
        <v>76</v>
      </c>
      <c r="B65" t="s">
        <v>28</v>
      </c>
      <c r="C65">
        <v>87</v>
      </c>
      <c r="D65">
        <v>2327</v>
      </c>
      <c r="E65">
        <v>2327</v>
      </c>
      <c r="F65">
        <v>434</v>
      </c>
      <c r="G65">
        <v>291</v>
      </c>
      <c r="H65">
        <v>1433</v>
      </c>
      <c r="I65">
        <v>29</v>
      </c>
      <c r="J65">
        <v>107</v>
      </c>
      <c r="K65">
        <v>29</v>
      </c>
    </row>
    <row r="66" spans="1:11" x14ac:dyDescent="0.25">
      <c r="A66" t="s">
        <v>77</v>
      </c>
      <c r="B66" t="s">
        <v>28</v>
      </c>
      <c r="C66">
        <v>90</v>
      </c>
      <c r="D66">
        <v>394</v>
      </c>
      <c r="E66">
        <v>413</v>
      </c>
      <c r="F66">
        <v>960</v>
      </c>
      <c r="G66">
        <v>1499</v>
      </c>
      <c r="H66">
        <v>79</v>
      </c>
      <c r="I66">
        <v>2369</v>
      </c>
      <c r="J66">
        <v>2096</v>
      </c>
      <c r="K66">
        <v>2096</v>
      </c>
    </row>
    <row r="67" spans="1:11" x14ac:dyDescent="0.25">
      <c r="A67" t="s">
        <v>78</v>
      </c>
      <c r="B67" t="s">
        <v>28</v>
      </c>
      <c r="C67">
        <v>94</v>
      </c>
      <c r="D67">
        <v>2557</v>
      </c>
      <c r="E67">
        <v>2550</v>
      </c>
      <c r="F67">
        <v>52</v>
      </c>
      <c r="G67">
        <v>1373</v>
      </c>
      <c r="H67">
        <v>876</v>
      </c>
      <c r="I67">
        <v>2</v>
      </c>
      <c r="J67">
        <v>2479</v>
      </c>
      <c r="K67">
        <v>2</v>
      </c>
    </row>
    <row r="68" spans="1:11" x14ac:dyDescent="0.25">
      <c r="A68" t="s">
        <v>79</v>
      </c>
      <c r="B68" t="s">
        <v>28</v>
      </c>
      <c r="C68">
        <v>96</v>
      </c>
      <c r="D68">
        <v>3866</v>
      </c>
      <c r="E68">
        <v>2235</v>
      </c>
      <c r="F68">
        <v>347</v>
      </c>
      <c r="G68">
        <v>251</v>
      </c>
      <c r="H68">
        <v>96</v>
      </c>
      <c r="I68">
        <v>390</v>
      </c>
      <c r="J68">
        <v>2025</v>
      </c>
      <c r="K68">
        <v>387</v>
      </c>
    </row>
    <row r="69" spans="1:11" x14ac:dyDescent="0.25">
      <c r="A69" t="s">
        <v>80</v>
      </c>
      <c r="B69" t="s">
        <v>28</v>
      </c>
      <c r="C69">
        <v>99</v>
      </c>
      <c r="D69">
        <v>83</v>
      </c>
      <c r="E69">
        <v>80</v>
      </c>
      <c r="F69">
        <v>8</v>
      </c>
      <c r="G69">
        <v>111</v>
      </c>
      <c r="H69">
        <v>1641</v>
      </c>
      <c r="I69">
        <v>22</v>
      </c>
      <c r="J69">
        <v>28</v>
      </c>
      <c r="K69">
        <v>17</v>
      </c>
    </row>
    <row r="70" spans="1:11" x14ac:dyDescent="0.25">
      <c r="A70" t="s">
        <v>81</v>
      </c>
      <c r="B70" t="s">
        <v>82</v>
      </c>
      <c r="C70">
        <v>10</v>
      </c>
      <c r="D70">
        <v>132</v>
      </c>
      <c r="E70">
        <v>132</v>
      </c>
      <c r="F70">
        <v>155</v>
      </c>
      <c r="G70">
        <v>84</v>
      </c>
      <c r="H70">
        <v>32</v>
      </c>
      <c r="I70">
        <v>107</v>
      </c>
      <c r="J70">
        <v>84</v>
      </c>
      <c r="K70">
        <v>83</v>
      </c>
    </row>
    <row r="71" spans="1:11" x14ac:dyDescent="0.25">
      <c r="A71" t="s">
        <v>83</v>
      </c>
      <c r="B71" t="s">
        <v>82</v>
      </c>
      <c r="C71">
        <v>15</v>
      </c>
      <c r="D71">
        <v>194</v>
      </c>
      <c r="E71">
        <v>194</v>
      </c>
      <c r="F71">
        <v>261</v>
      </c>
      <c r="G71">
        <v>119</v>
      </c>
      <c r="H71">
        <v>52</v>
      </c>
      <c r="I71">
        <v>3</v>
      </c>
      <c r="J71">
        <v>4</v>
      </c>
      <c r="K71">
        <v>3</v>
      </c>
    </row>
    <row r="72" spans="1:11" x14ac:dyDescent="0.25">
      <c r="A72" t="s">
        <v>84</v>
      </c>
      <c r="B72" t="s">
        <v>82</v>
      </c>
      <c r="C72">
        <v>17</v>
      </c>
      <c r="D72">
        <v>118</v>
      </c>
      <c r="E72">
        <v>118</v>
      </c>
      <c r="F72">
        <v>118</v>
      </c>
      <c r="G72">
        <v>79</v>
      </c>
      <c r="H72">
        <v>74</v>
      </c>
      <c r="I72">
        <v>33</v>
      </c>
      <c r="J72">
        <v>20</v>
      </c>
      <c r="K72">
        <v>19</v>
      </c>
    </row>
    <row r="73" spans="1:11" x14ac:dyDescent="0.25">
      <c r="A73" t="s">
        <v>85</v>
      </c>
      <c r="B73" t="s">
        <v>82</v>
      </c>
      <c r="C73">
        <v>18</v>
      </c>
      <c r="D73">
        <v>54</v>
      </c>
      <c r="E73">
        <v>54</v>
      </c>
      <c r="F73">
        <v>112</v>
      </c>
      <c r="G73">
        <v>65</v>
      </c>
      <c r="H73">
        <v>238</v>
      </c>
      <c r="I73">
        <v>46</v>
      </c>
      <c r="J73">
        <v>33</v>
      </c>
      <c r="K73">
        <v>33</v>
      </c>
    </row>
    <row r="74" spans="1:11" x14ac:dyDescent="0.25">
      <c r="A74" t="s">
        <v>86</v>
      </c>
      <c r="B74" t="s">
        <v>82</v>
      </c>
      <c r="C74">
        <v>22</v>
      </c>
      <c r="D74">
        <v>14</v>
      </c>
      <c r="E74">
        <v>14</v>
      </c>
      <c r="F74">
        <v>29</v>
      </c>
      <c r="G74">
        <v>8</v>
      </c>
      <c r="H74">
        <v>21</v>
      </c>
      <c r="I74">
        <v>8</v>
      </c>
      <c r="J74">
        <v>7</v>
      </c>
      <c r="K74">
        <v>7</v>
      </c>
    </row>
    <row r="75" spans="1:11" x14ac:dyDescent="0.25">
      <c r="A75" t="s">
        <v>87</v>
      </c>
      <c r="B75" t="s">
        <v>82</v>
      </c>
      <c r="C75">
        <v>24</v>
      </c>
      <c r="D75">
        <v>140</v>
      </c>
      <c r="E75">
        <v>140</v>
      </c>
      <c r="F75">
        <v>117</v>
      </c>
      <c r="G75">
        <v>133</v>
      </c>
      <c r="H75">
        <v>40</v>
      </c>
      <c r="I75">
        <v>0</v>
      </c>
      <c r="J75">
        <v>2</v>
      </c>
      <c r="K75">
        <v>0</v>
      </c>
    </row>
    <row r="76" spans="1:11" x14ac:dyDescent="0.25">
      <c r="A76" t="s">
        <v>88</v>
      </c>
      <c r="B76" t="s">
        <v>82</v>
      </c>
      <c r="C76">
        <v>26</v>
      </c>
      <c r="D76">
        <v>23</v>
      </c>
      <c r="E76">
        <v>23</v>
      </c>
      <c r="F76">
        <v>15</v>
      </c>
      <c r="G76">
        <v>12</v>
      </c>
      <c r="H76">
        <v>25</v>
      </c>
      <c r="I76">
        <v>30</v>
      </c>
      <c r="J76">
        <v>35</v>
      </c>
      <c r="K76">
        <v>30</v>
      </c>
    </row>
    <row r="77" spans="1:11" x14ac:dyDescent="0.25">
      <c r="A77" t="s">
        <v>89</v>
      </c>
      <c r="B77" t="s">
        <v>82</v>
      </c>
      <c r="C77">
        <v>3</v>
      </c>
      <c r="D77">
        <v>34</v>
      </c>
      <c r="E77">
        <v>34</v>
      </c>
      <c r="F77">
        <v>25</v>
      </c>
      <c r="G77">
        <v>12</v>
      </c>
      <c r="H77">
        <v>20</v>
      </c>
      <c r="I77">
        <v>4</v>
      </c>
      <c r="J77">
        <v>8</v>
      </c>
      <c r="K77">
        <v>4</v>
      </c>
    </row>
    <row r="78" spans="1:11" x14ac:dyDescent="0.25">
      <c r="A78" t="s">
        <v>90</v>
      </c>
      <c r="B78" t="s">
        <v>82</v>
      </c>
      <c r="C78">
        <v>30</v>
      </c>
      <c r="D78">
        <v>23</v>
      </c>
      <c r="E78">
        <v>23</v>
      </c>
      <c r="F78">
        <v>24</v>
      </c>
      <c r="G78">
        <v>1</v>
      </c>
      <c r="H78">
        <v>5</v>
      </c>
      <c r="I78">
        <v>19</v>
      </c>
      <c r="J78">
        <v>229</v>
      </c>
      <c r="K78">
        <v>16</v>
      </c>
    </row>
    <row r="79" spans="1:11" x14ac:dyDescent="0.25">
      <c r="A79" t="s">
        <v>91</v>
      </c>
      <c r="B79" t="s">
        <v>82</v>
      </c>
      <c r="C79">
        <v>32</v>
      </c>
      <c r="D79">
        <v>3</v>
      </c>
      <c r="E79">
        <v>3</v>
      </c>
      <c r="F79">
        <v>3</v>
      </c>
      <c r="G79">
        <v>17</v>
      </c>
      <c r="H79">
        <v>26</v>
      </c>
      <c r="I79">
        <v>44</v>
      </c>
      <c r="J79">
        <v>7</v>
      </c>
      <c r="K79">
        <v>7</v>
      </c>
    </row>
    <row r="80" spans="1:11" x14ac:dyDescent="0.25">
      <c r="A80" t="s">
        <v>92</v>
      </c>
      <c r="B80" t="s">
        <v>82</v>
      </c>
      <c r="C80">
        <v>33</v>
      </c>
      <c r="D80">
        <v>58</v>
      </c>
      <c r="E80">
        <v>58</v>
      </c>
      <c r="F80">
        <v>39</v>
      </c>
      <c r="G80">
        <v>38</v>
      </c>
      <c r="H80">
        <v>45</v>
      </c>
      <c r="I80">
        <v>0</v>
      </c>
      <c r="J80">
        <v>82</v>
      </c>
      <c r="K80">
        <v>0</v>
      </c>
    </row>
    <row r="81" spans="1:11" x14ac:dyDescent="0.25">
      <c r="A81" t="s">
        <v>93</v>
      </c>
      <c r="B81" t="s">
        <v>82</v>
      </c>
      <c r="C81">
        <v>34</v>
      </c>
      <c r="D81">
        <v>229</v>
      </c>
      <c r="E81">
        <v>229</v>
      </c>
      <c r="F81">
        <v>7</v>
      </c>
      <c r="G81">
        <v>95</v>
      </c>
      <c r="H81">
        <v>189</v>
      </c>
      <c r="I81">
        <v>84</v>
      </c>
      <c r="J81">
        <v>105</v>
      </c>
      <c r="K81">
        <v>84</v>
      </c>
    </row>
    <row r="82" spans="1:11" x14ac:dyDescent="0.25">
      <c r="A82" t="s">
        <v>94</v>
      </c>
      <c r="B82" t="s">
        <v>82</v>
      </c>
      <c r="C82">
        <v>38</v>
      </c>
      <c r="D82">
        <v>159</v>
      </c>
      <c r="E82">
        <v>159</v>
      </c>
      <c r="F82">
        <v>13</v>
      </c>
      <c r="G82">
        <v>56</v>
      </c>
      <c r="H82">
        <v>51</v>
      </c>
      <c r="I82">
        <v>0</v>
      </c>
      <c r="J82">
        <v>35</v>
      </c>
      <c r="K82">
        <v>0</v>
      </c>
    </row>
    <row r="83" spans="1:11" x14ac:dyDescent="0.25">
      <c r="A83" t="s">
        <v>95</v>
      </c>
      <c r="B83" t="s">
        <v>82</v>
      </c>
      <c r="C83">
        <v>39</v>
      </c>
      <c r="D83">
        <v>17</v>
      </c>
      <c r="E83">
        <v>17</v>
      </c>
      <c r="F83">
        <v>19</v>
      </c>
      <c r="G83">
        <v>20</v>
      </c>
      <c r="H83">
        <v>25</v>
      </c>
      <c r="I83">
        <v>1</v>
      </c>
      <c r="J83">
        <v>1</v>
      </c>
      <c r="K83">
        <v>1</v>
      </c>
    </row>
    <row r="84" spans="1:11" x14ac:dyDescent="0.25">
      <c r="A84" t="s">
        <v>96</v>
      </c>
      <c r="B84" t="s">
        <v>82</v>
      </c>
      <c r="C84">
        <v>41</v>
      </c>
      <c r="D84">
        <v>33</v>
      </c>
      <c r="E84">
        <v>33</v>
      </c>
      <c r="F84">
        <v>5</v>
      </c>
      <c r="G84">
        <v>12</v>
      </c>
      <c r="H84">
        <v>7</v>
      </c>
      <c r="I84">
        <v>34</v>
      </c>
      <c r="J84">
        <v>47</v>
      </c>
      <c r="K84">
        <v>5</v>
      </c>
    </row>
    <row r="85" spans="1:11" x14ac:dyDescent="0.25">
      <c r="A85" t="s">
        <v>97</v>
      </c>
      <c r="B85" t="s">
        <v>82</v>
      </c>
      <c r="C85">
        <v>42</v>
      </c>
      <c r="D85">
        <v>122</v>
      </c>
      <c r="E85">
        <v>120</v>
      </c>
      <c r="F85">
        <v>51</v>
      </c>
      <c r="G85">
        <v>86</v>
      </c>
      <c r="H85">
        <v>60</v>
      </c>
      <c r="I85">
        <v>5</v>
      </c>
      <c r="J85">
        <v>43</v>
      </c>
      <c r="K85">
        <v>5</v>
      </c>
    </row>
    <row r="86" spans="1:11" x14ac:dyDescent="0.25">
      <c r="A86" t="s">
        <v>98</v>
      </c>
      <c r="B86" t="s">
        <v>82</v>
      </c>
      <c r="C86">
        <v>47</v>
      </c>
      <c r="D86">
        <v>35</v>
      </c>
      <c r="E86">
        <v>35</v>
      </c>
      <c r="F86">
        <v>35</v>
      </c>
      <c r="G86">
        <v>27</v>
      </c>
      <c r="H86">
        <v>18</v>
      </c>
      <c r="I86">
        <v>5</v>
      </c>
      <c r="J86">
        <v>161</v>
      </c>
      <c r="K86">
        <v>0</v>
      </c>
    </row>
    <row r="87" spans="1:11" x14ac:dyDescent="0.25">
      <c r="A87" t="s">
        <v>99</v>
      </c>
      <c r="B87" t="s">
        <v>82</v>
      </c>
      <c r="C87">
        <v>49</v>
      </c>
      <c r="D87">
        <v>43</v>
      </c>
      <c r="E87">
        <v>43</v>
      </c>
      <c r="F87">
        <v>1</v>
      </c>
      <c r="G87">
        <v>16</v>
      </c>
      <c r="H87">
        <v>16</v>
      </c>
      <c r="I87">
        <v>0</v>
      </c>
      <c r="J87">
        <v>8</v>
      </c>
      <c r="K87">
        <v>0</v>
      </c>
    </row>
    <row r="88" spans="1:11" x14ac:dyDescent="0.25">
      <c r="A88" t="s">
        <v>100</v>
      </c>
      <c r="B88" t="s">
        <v>82</v>
      </c>
      <c r="C88">
        <v>50</v>
      </c>
      <c r="D88">
        <v>147</v>
      </c>
      <c r="E88">
        <v>147</v>
      </c>
      <c r="F88">
        <v>2</v>
      </c>
      <c r="G88">
        <v>29</v>
      </c>
      <c r="H88">
        <v>35</v>
      </c>
      <c r="I88">
        <v>1</v>
      </c>
      <c r="J88">
        <v>9</v>
      </c>
      <c r="K88">
        <v>0</v>
      </c>
    </row>
    <row r="89" spans="1:11" x14ac:dyDescent="0.25">
      <c r="A89" t="s">
        <v>101</v>
      </c>
      <c r="B89" t="s">
        <v>82</v>
      </c>
      <c r="C89">
        <v>6</v>
      </c>
      <c r="D89">
        <v>114</v>
      </c>
      <c r="E89">
        <v>114</v>
      </c>
      <c r="F89">
        <v>126</v>
      </c>
      <c r="G89">
        <v>110</v>
      </c>
      <c r="H89">
        <v>125</v>
      </c>
      <c r="I89">
        <v>30</v>
      </c>
      <c r="J89">
        <v>24</v>
      </c>
      <c r="K89">
        <v>18</v>
      </c>
    </row>
    <row r="90" spans="1:11" x14ac:dyDescent="0.25">
      <c r="A90" t="s">
        <v>102</v>
      </c>
      <c r="B90" t="s">
        <v>82</v>
      </c>
      <c r="C90">
        <v>60</v>
      </c>
      <c r="D90">
        <v>42</v>
      </c>
      <c r="E90">
        <v>42</v>
      </c>
      <c r="F90">
        <v>33</v>
      </c>
      <c r="G90">
        <v>32</v>
      </c>
      <c r="H90">
        <v>3</v>
      </c>
      <c r="I90">
        <v>1</v>
      </c>
      <c r="J90">
        <v>160</v>
      </c>
      <c r="K90">
        <v>1</v>
      </c>
    </row>
    <row r="91" spans="1:11" x14ac:dyDescent="0.25">
      <c r="A91" t="s">
        <v>103</v>
      </c>
      <c r="B91" t="s">
        <v>82</v>
      </c>
      <c r="C91">
        <v>61</v>
      </c>
      <c r="D91">
        <v>8</v>
      </c>
      <c r="E91">
        <v>8</v>
      </c>
      <c r="F91">
        <v>20</v>
      </c>
      <c r="G91">
        <v>20</v>
      </c>
      <c r="H91">
        <v>2</v>
      </c>
      <c r="I91">
        <v>7</v>
      </c>
      <c r="J91">
        <v>7</v>
      </c>
      <c r="K91">
        <v>7</v>
      </c>
    </row>
    <row r="92" spans="1:11" x14ac:dyDescent="0.25">
      <c r="A92" t="s">
        <v>104</v>
      </c>
      <c r="B92" t="s">
        <v>82</v>
      </c>
      <c r="C92">
        <v>63</v>
      </c>
      <c r="D92">
        <v>20</v>
      </c>
      <c r="E92">
        <v>20</v>
      </c>
      <c r="F92">
        <v>21</v>
      </c>
      <c r="G92">
        <v>8</v>
      </c>
      <c r="H92">
        <v>36</v>
      </c>
      <c r="I92">
        <v>2</v>
      </c>
      <c r="J92">
        <v>2</v>
      </c>
      <c r="K92">
        <v>2</v>
      </c>
    </row>
    <row r="93" spans="1:11" x14ac:dyDescent="0.25">
      <c r="A93" t="s">
        <v>105</v>
      </c>
      <c r="B93" t="s">
        <v>82</v>
      </c>
      <c r="C93">
        <v>64</v>
      </c>
      <c r="D93">
        <v>42</v>
      </c>
      <c r="E93">
        <v>42</v>
      </c>
      <c r="F93">
        <v>22</v>
      </c>
      <c r="G93">
        <v>33</v>
      </c>
      <c r="H93">
        <v>22</v>
      </c>
      <c r="I93">
        <v>4</v>
      </c>
      <c r="J93">
        <v>63</v>
      </c>
      <c r="K93">
        <v>4</v>
      </c>
    </row>
    <row r="94" spans="1:11" x14ac:dyDescent="0.25">
      <c r="A94" t="s">
        <v>106</v>
      </c>
      <c r="B94" t="s">
        <v>82</v>
      </c>
      <c r="C94">
        <v>7</v>
      </c>
      <c r="D94">
        <v>121</v>
      </c>
      <c r="E94">
        <v>121</v>
      </c>
      <c r="F94">
        <v>121</v>
      </c>
      <c r="G94">
        <v>13</v>
      </c>
      <c r="H94">
        <v>4</v>
      </c>
      <c r="I94">
        <v>3</v>
      </c>
      <c r="J94">
        <v>1</v>
      </c>
      <c r="K94">
        <v>0</v>
      </c>
    </row>
    <row r="95" spans="1:11" x14ac:dyDescent="0.25">
      <c r="A95" t="s">
        <v>107</v>
      </c>
      <c r="B95" t="s">
        <v>82</v>
      </c>
      <c r="C95">
        <v>9</v>
      </c>
      <c r="D95">
        <v>79</v>
      </c>
      <c r="E95">
        <v>79</v>
      </c>
      <c r="F95">
        <v>81</v>
      </c>
      <c r="G95">
        <v>98</v>
      </c>
      <c r="H95">
        <v>84</v>
      </c>
      <c r="I95">
        <v>111</v>
      </c>
      <c r="J95">
        <v>28</v>
      </c>
      <c r="K95">
        <v>26</v>
      </c>
    </row>
    <row r="96" spans="1:11" x14ac:dyDescent="0.25">
      <c r="A96" t="s">
        <v>108</v>
      </c>
      <c r="B96" t="s">
        <v>109</v>
      </c>
      <c r="C96">
        <v>1</v>
      </c>
      <c r="D96">
        <v>519</v>
      </c>
      <c r="E96">
        <v>513</v>
      </c>
      <c r="F96">
        <v>51</v>
      </c>
      <c r="G96">
        <v>175</v>
      </c>
      <c r="H96">
        <v>372</v>
      </c>
      <c r="I96">
        <v>2</v>
      </c>
      <c r="J96">
        <v>183</v>
      </c>
      <c r="K96">
        <v>2</v>
      </c>
    </row>
    <row r="97" spans="1:11" x14ac:dyDescent="0.25">
      <c r="A97" t="s">
        <v>110</v>
      </c>
      <c r="B97" t="s">
        <v>109</v>
      </c>
      <c r="C97">
        <v>100</v>
      </c>
      <c r="D97">
        <v>179</v>
      </c>
      <c r="E97">
        <v>179</v>
      </c>
      <c r="F97">
        <v>112</v>
      </c>
      <c r="G97">
        <v>171</v>
      </c>
      <c r="H97">
        <v>2</v>
      </c>
      <c r="I97">
        <v>2</v>
      </c>
      <c r="J97">
        <v>16</v>
      </c>
      <c r="K97">
        <v>2</v>
      </c>
    </row>
    <row r="98" spans="1:11" x14ac:dyDescent="0.25">
      <c r="A98" t="s">
        <v>111</v>
      </c>
      <c r="B98" t="s">
        <v>109</v>
      </c>
      <c r="C98">
        <v>101</v>
      </c>
      <c r="D98">
        <v>33</v>
      </c>
      <c r="E98">
        <v>33</v>
      </c>
      <c r="F98">
        <v>17</v>
      </c>
      <c r="G98">
        <v>34</v>
      </c>
      <c r="H98">
        <v>28</v>
      </c>
      <c r="I98">
        <v>22</v>
      </c>
      <c r="J98">
        <v>24</v>
      </c>
      <c r="K98">
        <v>22</v>
      </c>
    </row>
    <row r="99" spans="1:11" x14ac:dyDescent="0.25">
      <c r="A99" t="s">
        <v>112</v>
      </c>
      <c r="B99" t="s">
        <v>109</v>
      </c>
      <c r="C99">
        <v>102</v>
      </c>
      <c r="D99">
        <v>123</v>
      </c>
      <c r="E99">
        <v>81</v>
      </c>
      <c r="F99">
        <v>6</v>
      </c>
      <c r="G99">
        <v>3</v>
      </c>
      <c r="H99">
        <v>45</v>
      </c>
      <c r="I99">
        <v>0</v>
      </c>
      <c r="J99">
        <v>10</v>
      </c>
      <c r="K99">
        <v>0</v>
      </c>
    </row>
    <row r="100" spans="1:11" x14ac:dyDescent="0.25">
      <c r="A100" t="s">
        <v>113</v>
      </c>
      <c r="B100" t="s">
        <v>109</v>
      </c>
      <c r="C100">
        <v>103</v>
      </c>
      <c r="D100">
        <v>40</v>
      </c>
      <c r="E100">
        <v>40</v>
      </c>
      <c r="F100">
        <v>25</v>
      </c>
      <c r="G100">
        <v>49</v>
      </c>
      <c r="H100">
        <v>16</v>
      </c>
      <c r="I100">
        <v>7</v>
      </c>
      <c r="J100">
        <v>12</v>
      </c>
      <c r="K100">
        <v>7</v>
      </c>
    </row>
    <row r="101" spans="1:11" x14ac:dyDescent="0.25">
      <c r="A101" t="s">
        <v>114</v>
      </c>
      <c r="B101" t="s">
        <v>109</v>
      </c>
      <c r="C101">
        <v>11</v>
      </c>
      <c r="D101">
        <v>3</v>
      </c>
      <c r="E101">
        <v>3</v>
      </c>
      <c r="F101">
        <v>8</v>
      </c>
      <c r="G101">
        <v>204</v>
      </c>
      <c r="H101">
        <v>71</v>
      </c>
      <c r="I101">
        <v>2</v>
      </c>
      <c r="J101">
        <v>2</v>
      </c>
      <c r="K101">
        <v>2</v>
      </c>
    </row>
    <row r="102" spans="1:11" x14ac:dyDescent="0.25">
      <c r="A102" t="s">
        <v>115</v>
      </c>
      <c r="B102" t="s">
        <v>109</v>
      </c>
      <c r="C102">
        <v>13</v>
      </c>
      <c r="D102">
        <v>155</v>
      </c>
      <c r="E102">
        <v>162</v>
      </c>
      <c r="F102">
        <v>182</v>
      </c>
      <c r="G102">
        <v>193</v>
      </c>
      <c r="H102">
        <v>18</v>
      </c>
      <c r="I102">
        <v>83</v>
      </c>
      <c r="J102">
        <v>23</v>
      </c>
      <c r="K102">
        <v>23</v>
      </c>
    </row>
    <row r="103" spans="1:11" x14ac:dyDescent="0.25">
      <c r="A103" t="s">
        <v>116</v>
      </c>
      <c r="B103" t="s">
        <v>109</v>
      </c>
      <c r="C103">
        <v>14</v>
      </c>
      <c r="D103">
        <v>46</v>
      </c>
      <c r="E103">
        <v>65</v>
      </c>
      <c r="F103">
        <v>92</v>
      </c>
      <c r="G103">
        <v>48</v>
      </c>
      <c r="H103">
        <v>111</v>
      </c>
      <c r="I103">
        <v>86</v>
      </c>
      <c r="J103">
        <v>26</v>
      </c>
      <c r="K103">
        <v>26</v>
      </c>
    </row>
    <row r="104" spans="1:11" x14ac:dyDescent="0.25">
      <c r="A104" t="s">
        <v>117</v>
      </c>
      <c r="B104" t="s">
        <v>109</v>
      </c>
      <c r="C104">
        <v>15</v>
      </c>
      <c r="D104">
        <v>650</v>
      </c>
      <c r="E104">
        <v>650</v>
      </c>
      <c r="F104">
        <v>644</v>
      </c>
      <c r="G104">
        <v>231</v>
      </c>
      <c r="H104">
        <v>13</v>
      </c>
      <c r="I104">
        <v>73</v>
      </c>
      <c r="J104">
        <v>74</v>
      </c>
      <c r="K104">
        <v>1</v>
      </c>
    </row>
    <row r="105" spans="1:11" x14ac:dyDescent="0.25">
      <c r="A105" t="s">
        <v>118</v>
      </c>
      <c r="B105" t="s">
        <v>109</v>
      </c>
      <c r="C105">
        <v>16</v>
      </c>
      <c r="D105">
        <v>638</v>
      </c>
      <c r="E105">
        <v>638</v>
      </c>
      <c r="F105">
        <v>632</v>
      </c>
      <c r="G105">
        <v>103</v>
      </c>
      <c r="H105">
        <v>382</v>
      </c>
      <c r="I105">
        <v>26</v>
      </c>
      <c r="J105">
        <v>72</v>
      </c>
      <c r="K105">
        <v>3</v>
      </c>
    </row>
    <row r="106" spans="1:11" x14ac:dyDescent="0.25">
      <c r="A106" t="s">
        <v>119</v>
      </c>
      <c r="B106" t="s">
        <v>109</v>
      </c>
      <c r="C106">
        <v>17</v>
      </c>
      <c r="D106">
        <v>660</v>
      </c>
      <c r="E106">
        <v>699</v>
      </c>
      <c r="F106">
        <v>700</v>
      </c>
      <c r="G106">
        <v>693</v>
      </c>
      <c r="H106">
        <v>53</v>
      </c>
      <c r="I106">
        <v>26</v>
      </c>
      <c r="J106">
        <v>30</v>
      </c>
      <c r="K106">
        <v>3</v>
      </c>
    </row>
    <row r="107" spans="1:11" x14ac:dyDescent="0.25">
      <c r="A107" t="s">
        <v>120</v>
      </c>
      <c r="B107" t="s">
        <v>109</v>
      </c>
      <c r="C107">
        <v>2</v>
      </c>
      <c r="D107">
        <v>9</v>
      </c>
      <c r="E107">
        <v>9</v>
      </c>
      <c r="F107">
        <v>38</v>
      </c>
      <c r="G107">
        <v>11</v>
      </c>
      <c r="H107">
        <v>80</v>
      </c>
      <c r="I107">
        <v>6</v>
      </c>
      <c r="J107">
        <v>5</v>
      </c>
      <c r="K107">
        <v>5</v>
      </c>
    </row>
    <row r="108" spans="1:11" x14ac:dyDescent="0.25">
      <c r="A108" t="s">
        <v>121</v>
      </c>
      <c r="B108" t="s">
        <v>109</v>
      </c>
      <c r="C108">
        <v>21</v>
      </c>
      <c r="D108">
        <v>131</v>
      </c>
      <c r="E108">
        <v>88</v>
      </c>
      <c r="F108">
        <v>65</v>
      </c>
      <c r="G108">
        <v>49</v>
      </c>
      <c r="H108">
        <v>73</v>
      </c>
      <c r="I108">
        <v>2</v>
      </c>
      <c r="J108">
        <v>7</v>
      </c>
      <c r="K108">
        <v>2</v>
      </c>
    </row>
    <row r="109" spans="1:11" x14ac:dyDescent="0.25">
      <c r="A109" t="s">
        <v>122</v>
      </c>
      <c r="B109" t="s">
        <v>109</v>
      </c>
      <c r="C109">
        <v>22</v>
      </c>
      <c r="D109">
        <v>291</v>
      </c>
      <c r="E109">
        <v>278</v>
      </c>
      <c r="F109">
        <v>87</v>
      </c>
      <c r="G109">
        <v>2</v>
      </c>
      <c r="H109">
        <v>71</v>
      </c>
      <c r="I109">
        <v>0</v>
      </c>
      <c r="J109">
        <v>25</v>
      </c>
      <c r="K109">
        <v>0</v>
      </c>
    </row>
    <row r="110" spans="1:11" x14ac:dyDescent="0.25">
      <c r="A110" t="s">
        <v>123</v>
      </c>
      <c r="B110" t="s">
        <v>109</v>
      </c>
      <c r="C110">
        <v>23</v>
      </c>
      <c r="D110">
        <v>121</v>
      </c>
      <c r="E110">
        <v>121</v>
      </c>
      <c r="F110">
        <v>144</v>
      </c>
      <c r="G110">
        <v>149</v>
      </c>
      <c r="H110">
        <v>4</v>
      </c>
      <c r="I110">
        <v>10</v>
      </c>
      <c r="J110">
        <v>6</v>
      </c>
      <c r="K110">
        <v>4</v>
      </c>
    </row>
    <row r="111" spans="1:11" x14ac:dyDescent="0.25">
      <c r="A111" t="s">
        <v>124</v>
      </c>
      <c r="B111" t="s">
        <v>109</v>
      </c>
      <c r="C111">
        <v>24</v>
      </c>
      <c r="D111">
        <v>140</v>
      </c>
      <c r="E111">
        <v>140</v>
      </c>
      <c r="F111">
        <v>184</v>
      </c>
      <c r="G111">
        <v>181</v>
      </c>
      <c r="H111">
        <v>203</v>
      </c>
      <c r="I111">
        <v>9</v>
      </c>
      <c r="J111">
        <v>5</v>
      </c>
      <c r="K111">
        <v>3</v>
      </c>
    </row>
    <row r="112" spans="1:11" x14ac:dyDescent="0.25">
      <c r="A112" t="s">
        <v>125</v>
      </c>
      <c r="B112" t="s">
        <v>109</v>
      </c>
      <c r="C112">
        <v>26</v>
      </c>
      <c r="D112">
        <v>405</v>
      </c>
      <c r="E112">
        <v>409</v>
      </c>
      <c r="F112">
        <v>413</v>
      </c>
      <c r="G112">
        <v>88</v>
      </c>
      <c r="H112">
        <v>321</v>
      </c>
      <c r="I112">
        <v>55</v>
      </c>
      <c r="J112">
        <v>95</v>
      </c>
      <c r="K112">
        <v>20</v>
      </c>
    </row>
    <row r="113" spans="1:11" x14ac:dyDescent="0.25">
      <c r="A113" t="s">
        <v>126</v>
      </c>
      <c r="B113" t="s">
        <v>109</v>
      </c>
      <c r="C113">
        <v>27</v>
      </c>
      <c r="D113">
        <v>66</v>
      </c>
      <c r="E113">
        <v>66</v>
      </c>
      <c r="F113">
        <v>28</v>
      </c>
      <c r="G113">
        <v>65</v>
      </c>
      <c r="H113">
        <v>11</v>
      </c>
      <c r="I113">
        <v>1</v>
      </c>
      <c r="J113">
        <v>205</v>
      </c>
      <c r="K113">
        <v>1</v>
      </c>
    </row>
    <row r="114" spans="1:11" x14ac:dyDescent="0.25">
      <c r="A114" t="s">
        <v>127</v>
      </c>
      <c r="B114" t="s">
        <v>109</v>
      </c>
      <c r="C114">
        <v>28</v>
      </c>
      <c r="D114">
        <v>120</v>
      </c>
      <c r="E114">
        <v>120</v>
      </c>
      <c r="F114">
        <v>64</v>
      </c>
      <c r="G114">
        <v>71</v>
      </c>
      <c r="H114">
        <v>3</v>
      </c>
      <c r="I114">
        <v>9</v>
      </c>
      <c r="J114">
        <v>18</v>
      </c>
      <c r="K114">
        <v>8</v>
      </c>
    </row>
    <row r="115" spans="1:11" x14ac:dyDescent="0.25">
      <c r="A115" t="s">
        <v>128</v>
      </c>
      <c r="B115" t="s">
        <v>109</v>
      </c>
      <c r="C115">
        <v>29</v>
      </c>
      <c r="D115">
        <v>198</v>
      </c>
      <c r="E115">
        <v>198</v>
      </c>
      <c r="F115">
        <v>32</v>
      </c>
      <c r="G115">
        <v>66</v>
      </c>
      <c r="H115">
        <v>81</v>
      </c>
      <c r="I115">
        <v>1</v>
      </c>
      <c r="J115">
        <v>26</v>
      </c>
      <c r="K115">
        <v>1</v>
      </c>
    </row>
    <row r="116" spans="1:11" x14ac:dyDescent="0.25">
      <c r="A116" t="s">
        <v>129</v>
      </c>
      <c r="B116" t="s">
        <v>109</v>
      </c>
      <c r="C116">
        <v>31</v>
      </c>
      <c r="D116">
        <v>270</v>
      </c>
      <c r="E116">
        <v>270</v>
      </c>
      <c r="F116">
        <v>434</v>
      </c>
      <c r="G116">
        <v>206</v>
      </c>
      <c r="H116">
        <v>2</v>
      </c>
      <c r="I116">
        <v>106</v>
      </c>
      <c r="J116">
        <v>251</v>
      </c>
      <c r="K116">
        <v>94</v>
      </c>
    </row>
    <row r="117" spans="1:11" x14ac:dyDescent="0.25">
      <c r="A117" t="s">
        <v>130</v>
      </c>
      <c r="B117" t="s">
        <v>109</v>
      </c>
      <c r="C117">
        <v>32</v>
      </c>
      <c r="D117">
        <v>1328</v>
      </c>
      <c r="E117">
        <v>1193</v>
      </c>
      <c r="F117">
        <v>63</v>
      </c>
      <c r="G117">
        <v>563</v>
      </c>
      <c r="H117">
        <v>528</v>
      </c>
      <c r="I117">
        <v>0</v>
      </c>
      <c r="J117">
        <v>5</v>
      </c>
      <c r="K117">
        <v>0</v>
      </c>
    </row>
    <row r="118" spans="1:11" x14ac:dyDescent="0.25">
      <c r="A118" t="s">
        <v>131</v>
      </c>
      <c r="B118" t="s">
        <v>109</v>
      </c>
      <c r="C118">
        <v>33</v>
      </c>
      <c r="D118">
        <v>160</v>
      </c>
      <c r="E118">
        <v>135</v>
      </c>
      <c r="F118">
        <v>45</v>
      </c>
      <c r="G118">
        <v>18</v>
      </c>
      <c r="H118">
        <v>348</v>
      </c>
      <c r="I118">
        <v>17</v>
      </c>
      <c r="J118">
        <v>19</v>
      </c>
      <c r="K118">
        <v>16</v>
      </c>
    </row>
    <row r="119" spans="1:11" x14ac:dyDescent="0.25">
      <c r="A119" t="s">
        <v>132</v>
      </c>
      <c r="B119" t="s">
        <v>109</v>
      </c>
      <c r="C119">
        <v>36</v>
      </c>
      <c r="D119">
        <v>355</v>
      </c>
      <c r="E119">
        <v>355</v>
      </c>
      <c r="F119">
        <v>37</v>
      </c>
      <c r="G119">
        <v>39</v>
      </c>
      <c r="H119">
        <v>265</v>
      </c>
      <c r="I119">
        <v>39</v>
      </c>
      <c r="J119">
        <v>74</v>
      </c>
      <c r="K119">
        <v>39</v>
      </c>
    </row>
    <row r="120" spans="1:11" x14ac:dyDescent="0.25">
      <c r="A120" t="s">
        <v>133</v>
      </c>
      <c r="B120" t="s">
        <v>109</v>
      </c>
      <c r="C120">
        <v>37</v>
      </c>
      <c r="D120">
        <v>252</v>
      </c>
      <c r="E120">
        <v>252</v>
      </c>
      <c r="F120">
        <v>199</v>
      </c>
      <c r="G120">
        <v>66</v>
      </c>
      <c r="H120">
        <v>26</v>
      </c>
      <c r="I120">
        <v>4</v>
      </c>
      <c r="J120">
        <v>84</v>
      </c>
      <c r="K120">
        <v>2</v>
      </c>
    </row>
    <row r="121" spans="1:11" x14ac:dyDescent="0.25">
      <c r="A121" t="s">
        <v>134</v>
      </c>
      <c r="B121" t="s">
        <v>109</v>
      </c>
      <c r="C121">
        <v>38</v>
      </c>
      <c r="D121">
        <v>276</v>
      </c>
      <c r="E121">
        <v>276</v>
      </c>
      <c r="F121">
        <v>83</v>
      </c>
      <c r="G121">
        <v>172</v>
      </c>
      <c r="H121">
        <v>76</v>
      </c>
      <c r="I121">
        <v>0</v>
      </c>
      <c r="J121">
        <v>13</v>
      </c>
      <c r="K121">
        <v>0</v>
      </c>
    </row>
    <row r="122" spans="1:11" x14ac:dyDescent="0.25">
      <c r="A122" t="s">
        <v>135</v>
      </c>
      <c r="B122" t="s">
        <v>109</v>
      </c>
      <c r="C122">
        <v>40</v>
      </c>
      <c r="D122">
        <v>13</v>
      </c>
      <c r="E122">
        <v>13</v>
      </c>
      <c r="F122">
        <v>20</v>
      </c>
      <c r="G122">
        <v>15</v>
      </c>
      <c r="H122">
        <v>45</v>
      </c>
      <c r="I122">
        <v>16</v>
      </c>
      <c r="J122">
        <v>24</v>
      </c>
      <c r="K122">
        <v>16</v>
      </c>
    </row>
    <row r="123" spans="1:11" x14ac:dyDescent="0.25">
      <c r="A123" t="s">
        <v>136</v>
      </c>
      <c r="B123" t="s">
        <v>109</v>
      </c>
      <c r="C123">
        <v>41</v>
      </c>
      <c r="D123">
        <v>97</v>
      </c>
      <c r="E123">
        <v>97</v>
      </c>
      <c r="F123">
        <v>35</v>
      </c>
      <c r="G123">
        <v>31</v>
      </c>
      <c r="H123">
        <v>38</v>
      </c>
      <c r="I123">
        <v>2</v>
      </c>
      <c r="J123">
        <v>93</v>
      </c>
      <c r="K123">
        <v>2</v>
      </c>
    </row>
    <row r="124" spans="1:11" x14ac:dyDescent="0.25">
      <c r="A124" t="s">
        <v>137</v>
      </c>
      <c r="B124" t="s">
        <v>109</v>
      </c>
      <c r="C124">
        <v>42</v>
      </c>
      <c r="D124">
        <v>78</v>
      </c>
      <c r="E124">
        <v>78</v>
      </c>
      <c r="F124">
        <v>28</v>
      </c>
      <c r="G124">
        <v>54</v>
      </c>
      <c r="H124">
        <v>197</v>
      </c>
      <c r="I124">
        <v>18</v>
      </c>
      <c r="J124">
        <v>18</v>
      </c>
      <c r="K124">
        <v>17</v>
      </c>
    </row>
    <row r="125" spans="1:11" x14ac:dyDescent="0.25">
      <c r="A125" t="s">
        <v>138</v>
      </c>
      <c r="B125" t="s">
        <v>109</v>
      </c>
      <c r="C125">
        <v>43</v>
      </c>
      <c r="D125">
        <v>129</v>
      </c>
      <c r="E125">
        <v>129</v>
      </c>
      <c r="F125">
        <v>146</v>
      </c>
      <c r="G125">
        <v>70</v>
      </c>
      <c r="H125">
        <v>159</v>
      </c>
      <c r="I125">
        <v>44</v>
      </c>
      <c r="J125">
        <v>55</v>
      </c>
      <c r="K125">
        <v>44</v>
      </c>
    </row>
    <row r="126" spans="1:11" x14ac:dyDescent="0.25">
      <c r="A126" t="s">
        <v>139</v>
      </c>
      <c r="B126" t="s">
        <v>109</v>
      </c>
      <c r="C126">
        <v>44</v>
      </c>
      <c r="D126">
        <v>252</v>
      </c>
      <c r="E126">
        <v>250</v>
      </c>
      <c r="F126">
        <v>304</v>
      </c>
      <c r="G126">
        <v>337</v>
      </c>
      <c r="H126">
        <v>785</v>
      </c>
      <c r="I126">
        <v>136</v>
      </c>
      <c r="J126">
        <v>107</v>
      </c>
      <c r="K126">
        <v>99</v>
      </c>
    </row>
    <row r="127" spans="1:11" x14ac:dyDescent="0.25">
      <c r="A127" t="s">
        <v>140</v>
      </c>
      <c r="B127" t="s">
        <v>109</v>
      </c>
      <c r="C127">
        <v>46</v>
      </c>
      <c r="D127">
        <v>337</v>
      </c>
      <c r="E127">
        <v>337</v>
      </c>
      <c r="F127">
        <v>7</v>
      </c>
      <c r="G127">
        <v>41</v>
      </c>
      <c r="H127">
        <v>234</v>
      </c>
      <c r="I127">
        <v>2</v>
      </c>
      <c r="J127">
        <v>73</v>
      </c>
      <c r="K127">
        <v>0</v>
      </c>
    </row>
    <row r="128" spans="1:11" x14ac:dyDescent="0.25">
      <c r="A128" t="s">
        <v>141</v>
      </c>
      <c r="B128" t="s">
        <v>109</v>
      </c>
      <c r="C128">
        <v>47</v>
      </c>
      <c r="D128">
        <v>296</v>
      </c>
      <c r="E128">
        <v>300</v>
      </c>
      <c r="F128">
        <v>356</v>
      </c>
      <c r="G128">
        <v>59</v>
      </c>
      <c r="H128">
        <v>5</v>
      </c>
      <c r="I128">
        <v>184</v>
      </c>
      <c r="J128">
        <v>73</v>
      </c>
      <c r="K128">
        <v>69</v>
      </c>
    </row>
    <row r="129" spans="1:11" x14ac:dyDescent="0.25">
      <c r="A129" t="s">
        <v>142</v>
      </c>
      <c r="B129" t="s">
        <v>109</v>
      </c>
      <c r="C129">
        <v>48</v>
      </c>
      <c r="D129">
        <v>714</v>
      </c>
      <c r="E129">
        <v>714</v>
      </c>
      <c r="F129">
        <v>662</v>
      </c>
      <c r="G129">
        <v>321</v>
      </c>
      <c r="H129">
        <v>87</v>
      </c>
      <c r="I129">
        <v>6</v>
      </c>
      <c r="J129">
        <v>4</v>
      </c>
      <c r="K129">
        <v>0</v>
      </c>
    </row>
    <row r="130" spans="1:11" x14ac:dyDescent="0.25">
      <c r="A130" t="s">
        <v>143</v>
      </c>
      <c r="B130" t="s">
        <v>109</v>
      </c>
      <c r="C130">
        <v>52</v>
      </c>
      <c r="D130">
        <v>402</v>
      </c>
      <c r="E130">
        <v>402</v>
      </c>
      <c r="F130">
        <v>73</v>
      </c>
      <c r="G130">
        <v>400</v>
      </c>
      <c r="H130">
        <v>164</v>
      </c>
      <c r="I130">
        <v>1</v>
      </c>
      <c r="J130">
        <v>18</v>
      </c>
      <c r="K130">
        <v>1</v>
      </c>
    </row>
    <row r="131" spans="1:11" x14ac:dyDescent="0.25">
      <c r="A131" t="s">
        <v>144</v>
      </c>
      <c r="B131" t="s">
        <v>109</v>
      </c>
      <c r="C131">
        <v>54</v>
      </c>
      <c r="D131">
        <v>7</v>
      </c>
      <c r="E131">
        <v>7</v>
      </c>
      <c r="F131">
        <v>7</v>
      </c>
      <c r="G131">
        <v>17</v>
      </c>
      <c r="H131">
        <v>21</v>
      </c>
      <c r="I131">
        <v>19</v>
      </c>
      <c r="J131">
        <v>19</v>
      </c>
      <c r="K131">
        <v>19</v>
      </c>
    </row>
    <row r="132" spans="1:11" x14ac:dyDescent="0.25">
      <c r="A132" t="s">
        <v>145</v>
      </c>
      <c r="B132" t="s">
        <v>109</v>
      </c>
      <c r="C132">
        <v>55</v>
      </c>
      <c r="D132">
        <v>36</v>
      </c>
      <c r="E132">
        <v>36</v>
      </c>
      <c r="F132">
        <v>20</v>
      </c>
      <c r="G132">
        <v>23</v>
      </c>
      <c r="H132">
        <v>11</v>
      </c>
      <c r="I132">
        <v>3</v>
      </c>
      <c r="J132">
        <v>79</v>
      </c>
      <c r="K132">
        <v>3</v>
      </c>
    </row>
    <row r="133" spans="1:11" x14ac:dyDescent="0.25">
      <c r="A133" t="s">
        <v>146</v>
      </c>
      <c r="B133" t="s">
        <v>109</v>
      </c>
      <c r="C133">
        <v>56</v>
      </c>
      <c r="D133">
        <v>336</v>
      </c>
      <c r="E133">
        <v>336</v>
      </c>
      <c r="F133">
        <v>21</v>
      </c>
      <c r="G133">
        <v>11</v>
      </c>
      <c r="H133">
        <v>323</v>
      </c>
      <c r="I133">
        <v>0</v>
      </c>
      <c r="J133">
        <v>2</v>
      </c>
      <c r="K133">
        <v>0</v>
      </c>
    </row>
    <row r="134" spans="1:11" x14ac:dyDescent="0.25">
      <c r="A134" t="s">
        <v>147</v>
      </c>
      <c r="B134" t="s">
        <v>109</v>
      </c>
      <c r="C134">
        <v>57</v>
      </c>
      <c r="D134">
        <v>1</v>
      </c>
      <c r="E134">
        <v>1</v>
      </c>
      <c r="F134">
        <v>1</v>
      </c>
      <c r="G134">
        <v>3</v>
      </c>
      <c r="H134">
        <v>83</v>
      </c>
      <c r="I134">
        <v>2</v>
      </c>
      <c r="J134">
        <v>2</v>
      </c>
      <c r="K134">
        <v>2</v>
      </c>
    </row>
    <row r="135" spans="1:11" x14ac:dyDescent="0.25">
      <c r="A135" t="s">
        <v>148</v>
      </c>
      <c r="B135" t="s">
        <v>109</v>
      </c>
      <c r="C135">
        <v>58</v>
      </c>
      <c r="D135">
        <v>37</v>
      </c>
      <c r="E135">
        <v>37</v>
      </c>
      <c r="F135">
        <v>45</v>
      </c>
      <c r="G135">
        <v>142</v>
      </c>
      <c r="H135">
        <v>944</v>
      </c>
      <c r="I135">
        <v>5</v>
      </c>
      <c r="J135">
        <v>5</v>
      </c>
      <c r="K135">
        <v>5</v>
      </c>
    </row>
    <row r="136" spans="1:11" x14ac:dyDescent="0.25">
      <c r="A136" t="s">
        <v>149</v>
      </c>
      <c r="B136" t="s">
        <v>109</v>
      </c>
      <c r="C136">
        <v>59</v>
      </c>
      <c r="D136">
        <v>921</v>
      </c>
      <c r="E136">
        <v>921</v>
      </c>
      <c r="F136">
        <v>921</v>
      </c>
      <c r="G136">
        <v>126</v>
      </c>
      <c r="H136">
        <v>921</v>
      </c>
      <c r="I136">
        <v>0</v>
      </c>
      <c r="J136">
        <v>1408</v>
      </c>
      <c r="K136">
        <v>0</v>
      </c>
    </row>
    <row r="137" spans="1:11" x14ac:dyDescent="0.25">
      <c r="A137" t="s">
        <v>150</v>
      </c>
      <c r="B137" t="s">
        <v>109</v>
      </c>
      <c r="C137">
        <v>6</v>
      </c>
      <c r="D137">
        <v>22</v>
      </c>
      <c r="E137">
        <v>25</v>
      </c>
      <c r="F137">
        <v>110</v>
      </c>
      <c r="G137">
        <v>17</v>
      </c>
      <c r="H137">
        <v>1863</v>
      </c>
      <c r="I137">
        <v>199</v>
      </c>
      <c r="J137">
        <v>113</v>
      </c>
      <c r="K137">
        <v>112</v>
      </c>
    </row>
    <row r="138" spans="1:11" x14ac:dyDescent="0.25">
      <c r="A138" t="s">
        <v>151</v>
      </c>
      <c r="B138" t="s">
        <v>109</v>
      </c>
      <c r="C138">
        <v>61</v>
      </c>
      <c r="D138">
        <v>274</v>
      </c>
      <c r="E138">
        <v>274</v>
      </c>
      <c r="F138">
        <v>274</v>
      </c>
      <c r="G138">
        <v>261</v>
      </c>
      <c r="H138">
        <v>109</v>
      </c>
      <c r="I138">
        <v>0</v>
      </c>
      <c r="J138">
        <v>1</v>
      </c>
      <c r="K138">
        <v>0</v>
      </c>
    </row>
    <row r="139" spans="1:11" x14ac:dyDescent="0.25">
      <c r="A139" t="s">
        <v>152</v>
      </c>
      <c r="B139" t="s">
        <v>109</v>
      </c>
      <c r="C139">
        <v>64</v>
      </c>
      <c r="D139">
        <v>118</v>
      </c>
      <c r="E139">
        <v>118</v>
      </c>
      <c r="F139">
        <v>122</v>
      </c>
      <c r="G139">
        <v>31</v>
      </c>
      <c r="H139">
        <v>201</v>
      </c>
      <c r="I139">
        <v>49</v>
      </c>
      <c r="J139">
        <v>23</v>
      </c>
      <c r="K139">
        <v>23</v>
      </c>
    </row>
    <row r="140" spans="1:11" x14ac:dyDescent="0.25">
      <c r="A140" t="s">
        <v>153</v>
      </c>
      <c r="B140" t="s">
        <v>109</v>
      </c>
      <c r="C140">
        <v>65</v>
      </c>
      <c r="D140">
        <v>252</v>
      </c>
      <c r="E140">
        <v>252</v>
      </c>
      <c r="F140">
        <v>120</v>
      </c>
      <c r="G140">
        <v>47</v>
      </c>
      <c r="H140">
        <v>233</v>
      </c>
      <c r="I140">
        <v>43</v>
      </c>
      <c r="J140">
        <v>49</v>
      </c>
      <c r="K140">
        <v>32</v>
      </c>
    </row>
    <row r="141" spans="1:11" x14ac:dyDescent="0.25">
      <c r="A141" t="s">
        <v>154</v>
      </c>
      <c r="B141" t="s">
        <v>109</v>
      </c>
      <c r="C141">
        <v>66</v>
      </c>
      <c r="D141">
        <v>7</v>
      </c>
      <c r="E141">
        <v>7</v>
      </c>
      <c r="F141">
        <v>260</v>
      </c>
      <c r="G141">
        <v>9</v>
      </c>
      <c r="H141">
        <v>8</v>
      </c>
      <c r="I141">
        <v>6</v>
      </c>
      <c r="J141">
        <v>5</v>
      </c>
      <c r="K141">
        <v>5</v>
      </c>
    </row>
    <row r="142" spans="1:11" x14ac:dyDescent="0.25">
      <c r="A142" t="s">
        <v>155</v>
      </c>
      <c r="B142" t="s">
        <v>109</v>
      </c>
      <c r="C142">
        <v>68</v>
      </c>
      <c r="D142">
        <v>129</v>
      </c>
      <c r="E142">
        <v>129</v>
      </c>
      <c r="F142">
        <v>129</v>
      </c>
      <c r="G142">
        <v>138</v>
      </c>
      <c r="H142">
        <v>68</v>
      </c>
      <c r="I142">
        <v>41</v>
      </c>
      <c r="J142">
        <v>18</v>
      </c>
      <c r="K142">
        <v>18</v>
      </c>
    </row>
    <row r="143" spans="1:11" x14ac:dyDescent="0.25">
      <c r="A143" t="s">
        <v>156</v>
      </c>
      <c r="B143" t="s">
        <v>109</v>
      </c>
      <c r="C143">
        <v>69</v>
      </c>
      <c r="D143">
        <v>10</v>
      </c>
      <c r="E143">
        <v>10</v>
      </c>
      <c r="F143">
        <v>12</v>
      </c>
      <c r="G143">
        <v>34</v>
      </c>
      <c r="H143">
        <v>137</v>
      </c>
      <c r="I143">
        <v>5</v>
      </c>
      <c r="J143">
        <v>5</v>
      </c>
      <c r="K143">
        <v>5</v>
      </c>
    </row>
    <row r="144" spans="1:11" x14ac:dyDescent="0.25">
      <c r="A144" t="s">
        <v>157</v>
      </c>
      <c r="B144" t="s">
        <v>109</v>
      </c>
      <c r="C144">
        <v>7</v>
      </c>
      <c r="D144">
        <v>858</v>
      </c>
      <c r="E144">
        <v>858</v>
      </c>
      <c r="F144">
        <v>682</v>
      </c>
      <c r="G144">
        <v>241</v>
      </c>
      <c r="H144">
        <v>853</v>
      </c>
      <c r="I144">
        <v>17</v>
      </c>
      <c r="J144">
        <v>107</v>
      </c>
      <c r="K144">
        <v>10</v>
      </c>
    </row>
    <row r="145" spans="1:11" x14ac:dyDescent="0.25">
      <c r="A145" t="s">
        <v>158</v>
      </c>
      <c r="B145" t="s">
        <v>109</v>
      </c>
      <c r="C145">
        <v>74</v>
      </c>
      <c r="D145">
        <v>685</v>
      </c>
      <c r="E145">
        <v>800</v>
      </c>
      <c r="F145">
        <v>801</v>
      </c>
      <c r="G145">
        <v>744</v>
      </c>
      <c r="H145">
        <v>200</v>
      </c>
      <c r="I145">
        <v>41</v>
      </c>
      <c r="J145">
        <v>13</v>
      </c>
      <c r="K145">
        <v>9</v>
      </c>
    </row>
    <row r="146" spans="1:11" x14ac:dyDescent="0.25">
      <c r="A146" t="s">
        <v>159</v>
      </c>
      <c r="B146" t="s">
        <v>109</v>
      </c>
      <c r="C146">
        <v>76</v>
      </c>
      <c r="D146">
        <v>161</v>
      </c>
      <c r="E146">
        <v>161</v>
      </c>
      <c r="F146">
        <v>59</v>
      </c>
      <c r="G146">
        <v>35</v>
      </c>
      <c r="H146">
        <v>313</v>
      </c>
      <c r="I146">
        <v>9</v>
      </c>
      <c r="J146">
        <v>11</v>
      </c>
      <c r="K146">
        <v>9</v>
      </c>
    </row>
    <row r="147" spans="1:11" x14ac:dyDescent="0.25">
      <c r="A147" t="s">
        <v>160</v>
      </c>
      <c r="B147" t="s">
        <v>109</v>
      </c>
      <c r="C147">
        <v>79</v>
      </c>
      <c r="D147">
        <v>30</v>
      </c>
      <c r="E147">
        <v>30</v>
      </c>
      <c r="F147">
        <v>30</v>
      </c>
      <c r="G147">
        <v>5</v>
      </c>
      <c r="H147">
        <v>21</v>
      </c>
      <c r="I147">
        <v>3</v>
      </c>
      <c r="J147">
        <v>1</v>
      </c>
      <c r="K147">
        <v>1</v>
      </c>
    </row>
    <row r="148" spans="1:11" x14ac:dyDescent="0.25">
      <c r="A148" t="s">
        <v>161</v>
      </c>
      <c r="B148" t="s">
        <v>109</v>
      </c>
      <c r="C148">
        <v>81</v>
      </c>
      <c r="D148">
        <v>51</v>
      </c>
      <c r="E148">
        <v>51</v>
      </c>
      <c r="F148">
        <v>51</v>
      </c>
      <c r="G148">
        <v>56</v>
      </c>
      <c r="H148">
        <v>209</v>
      </c>
      <c r="I148">
        <v>34</v>
      </c>
      <c r="J148">
        <v>15</v>
      </c>
      <c r="K148">
        <v>15</v>
      </c>
    </row>
    <row r="149" spans="1:11" x14ac:dyDescent="0.25">
      <c r="A149" t="s">
        <v>162</v>
      </c>
      <c r="B149" t="s">
        <v>109</v>
      </c>
      <c r="C149">
        <v>82</v>
      </c>
      <c r="D149">
        <v>205</v>
      </c>
      <c r="E149">
        <v>205</v>
      </c>
      <c r="F149">
        <v>210</v>
      </c>
      <c r="G149">
        <v>234</v>
      </c>
      <c r="H149">
        <v>105</v>
      </c>
      <c r="I149">
        <v>13</v>
      </c>
      <c r="J149">
        <v>11</v>
      </c>
      <c r="K149">
        <v>11</v>
      </c>
    </row>
    <row r="150" spans="1:11" x14ac:dyDescent="0.25">
      <c r="A150" t="s">
        <v>163</v>
      </c>
      <c r="B150" t="s">
        <v>109</v>
      </c>
      <c r="C150">
        <v>83</v>
      </c>
      <c r="D150">
        <v>84</v>
      </c>
      <c r="E150">
        <v>84</v>
      </c>
      <c r="F150">
        <v>82</v>
      </c>
      <c r="G150">
        <v>17</v>
      </c>
      <c r="H150">
        <v>28</v>
      </c>
      <c r="I150">
        <v>15</v>
      </c>
      <c r="J150">
        <v>12</v>
      </c>
      <c r="K150">
        <v>12</v>
      </c>
    </row>
    <row r="151" spans="1:11" x14ac:dyDescent="0.25">
      <c r="A151" t="s">
        <v>164</v>
      </c>
      <c r="B151" t="s">
        <v>109</v>
      </c>
      <c r="C151">
        <v>84</v>
      </c>
      <c r="D151">
        <v>20</v>
      </c>
      <c r="E151">
        <v>20</v>
      </c>
      <c r="F151">
        <v>46</v>
      </c>
      <c r="G151">
        <v>14</v>
      </c>
      <c r="H151">
        <v>24</v>
      </c>
      <c r="I151">
        <v>2</v>
      </c>
      <c r="J151">
        <v>2</v>
      </c>
      <c r="K151">
        <v>2</v>
      </c>
    </row>
    <row r="152" spans="1:11" x14ac:dyDescent="0.25">
      <c r="A152" t="s">
        <v>165</v>
      </c>
      <c r="B152" t="s">
        <v>109</v>
      </c>
      <c r="C152">
        <v>85</v>
      </c>
      <c r="D152">
        <v>45</v>
      </c>
      <c r="E152">
        <v>45</v>
      </c>
      <c r="F152">
        <v>85</v>
      </c>
      <c r="G152">
        <v>16</v>
      </c>
      <c r="H152">
        <v>43</v>
      </c>
      <c r="I152">
        <v>16</v>
      </c>
      <c r="J152">
        <v>37</v>
      </c>
      <c r="K152">
        <v>15</v>
      </c>
    </row>
    <row r="153" spans="1:11" x14ac:dyDescent="0.25">
      <c r="A153" t="s">
        <v>166</v>
      </c>
      <c r="B153" t="s">
        <v>109</v>
      </c>
      <c r="C153">
        <v>86</v>
      </c>
      <c r="D153">
        <v>49</v>
      </c>
      <c r="E153">
        <v>49</v>
      </c>
      <c r="F153">
        <v>102</v>
      </c>
      <c r="G153">
        <v>26</v>
      </c>
      <c r="H153">
        <v>93</v>
      </c>
      <c r="I153">
        <v>9</v>
      </c>
      <c r="J153">
        <v>5</v>
      </c>
      <c r="K153">
        <v>5</v>
      </c>
    </row>
    <row r="154" spans="1:11" x14ac:dyDescent="0.25">
      <c r="A154" t="s">
        <v>167</v>
      </c>
      <c r="B154" t="s">
        <v>109</v>
      </c>
      <c r="C154">
        <v>87</v>
      </c>
      <c r="D154">
        <v>101</v>
      </c>
      <c r="E154">
        <v>101</v>
      </c>
      <c r="F154">
        <v>106</v>
      </c>
      <c r="G154">
        <v>92</v>
      </c>
      <c r="H154">
        <v>239</v>
      </c>
      <c r="I154">
        <v>14</v>
      </c>
      <c r="J154">
        <v>11</v>
      </c>
      <c r="K154">
        <v>11</v>
      </c>
    </row>
    <row r="155" spans="1:11" x14ac:dyDescent="0.25">
      <c r="A155" t="s">
        <v>168</v>
      </c>
      <c r="B155" t="s">
        <v>109</v>
      </c>
      <c r="C155">
        <v>88</v>
      </c>
      <c r="D155">
        <v>91</v>
      </c>
      <c r="E155">
        <v>91</v>
      </c>
      <c r="F155">
        <v>83</v>
      </c>
      <c r="G155">
        <v>26</v>
      </c>
      <c r="H155">
        <v>137</v>
      </c>
      <c r="I155">
        <v>8</v>
      </c>
      <c r="J155">
        <v>10</v>
      </c>
      <c r="K155">
        <v>8</v>
      </c>
    </row>
    <row r="156" spans="1:11" x14ac:dyDescent="0.25">
      <c r="A156" t="s">
        <v>169</v>
      </c>
      <c r="B156" t="s">
        <v>109</v>
      </c>
      <c r="C156">
        <v>95</v>
      </c>
      <c r="D156">
        <v>83</v>
      </c>
      <c r="E156">
        <v>83</v>
      </c>
      <c r="F156">
        <v>38</v>
      </c>
      <c r="G156">
        <v>54</v>
      </c>
      <c r="H156">
        <v>51</v>
      </c>
      <c r="I156">
        <v>2</v>
      </c>
      <c r="J156">
        <v>17</v>
      </c>
      <c r="K156">
        <v>2</v>
      </c>
    </row>
    <row r="157" spans="1:11" x14ac:dyDescent="0.25">
      <c r="A157" t="s">
        <v>170</v>
      </c>
      <c r="B157" t="s">
        <v>109</v>
      </c>
      <c r="C157">
        <v>98</v>
      </c>
      <c r="D157">
        <v>20</v>
      </c>
      <c r="E157">
        <v>20</v>
      </c>
      <c r="F157">
        <v>6</v>
      </c>
      <c r="G157">
        <v>5</v>
      </c>
      <c r="H157">
        <v>7</v>
      </c>
      <c r="I157">
        <v>4</v>
      </c>
      <c r="J157">
        <v>30</v>
      </c>
      <c r="K157">
        <v>2</v>
      </c>
    </row>
    <row r="158" spans="1:11" x14ac:dyDescent="0.25">
      <c r="A158" t="s">
        <v>171</v>
      </c>
      <c r="B158" t="s">
        <v>172</v>
      </c>
      <c r="C158">
        <v>10</v>
      </c>
      <c r="D158">
        <v>338</v>
      </c>
      <c r="E158">
        <v>338</v>
      </c>
      <c r="F158">
        <v>67</v>
      </c>
      <c r="G158">
        <v>157</v>
      </c>
      <c r="H158">
        <v>249</v>
      </c>
      <c r="I158">
        <v>26</v>
      </c>
      <c r="J158">
        <v>668</v>
      </c>
      <c r="K158">
        <v>26</v>
      </c>
    </row>
    <row r="159" spans="1:11" x14ac:dyDescent="0.25">
      <c r="A159" t="s">
        <v>173</v>
      </c>
      <c r="B159" t="s">
        <v>172</v>
      </c>
      <c r="C159">
        <v>11</v>
      </c>
      <c r="D159">
        <v>239</v>
      </c>
      <c r="E159">
        <v>239</v>
      </c>
      <c r="F159">
        <v>4</v>
      </c>
      <c r="G159">
        <v>186</v>
      </c>
      <c r="H159">
        <v>13</v>
      </c>
      <c r="I159">
        <v>3</v>
      </c>
      <c r="J159">
        <v>839</v>
      </c>
      <c r="K159">
        <v>3</v>
      </c>
    </row>
    <row r="160" spans="1:11" x14ac:dyDescent="0.25">
      <c r="A160" t="s">
        <v>174</v>
      </c>
      <c r="B160" t="s">
        <v>172</v>
      </c>
      <c r="C160">
        <v>12</v>
      </c>
      <c r="D160">
        <v>140</v>
      </c>
      <c r="E160">
        <v>137</v>
      </c>
      <c r="F160">
        <v>171</v>
      </c>
      <c r="G160">
        <v>278</v>
      </c>
      <c r="H160">
        <v>146</v>
      </c>
      <c r="I160">
        <v>3</v>
      </c>
      <c r="J160">
        <v>5</v>
      </c>
      <c r="K160">
        <v>2</v>
      </c>
    </row>
    <row r="161" spans="1:11" x14ac:dyDescent="0.25">
      <c r="A161" t="s">
        <v>175</v>
      </c>
      <c r="B161" t="s">
        <v>172</v>
      </c>
      <c r="C161">
        <v>13</v>
      </c>
      <c r="D161">
        <v>74</v>
      </c>
      <c r="E161">
        <v>74</v>
      </c>
      <c r="F161">
        <v>67</v>
      </c>
      <c r="G161">
        <v>111</v>
      </c>
      <c r="H161">
        <v>17</v>
      </c>
      <c r="I161">
        <v>280</v>
      </c>
      <c r="J161">
        <v>520</v>
      </c>
      <c r="K161">
        <v>280</v>
      </c>
    </row>
    <row r="162" spans="1:11" x14ac:dyDescent="0.25">
      <c r="A162" t="s">
        <v>176</v>
      </c>
      <c r="B162" t="s">
        <v>172</v>
      </c>
      <c r="C162">
        <v>14</v>
      </c>
      <c r="D162">
        <v>74</v>
      </c>
      <c r="E162">
        <v>74</v>
      </c>
      <c r="F162">
        <v>73</v>
      </c>
      <c r="G162">
        <v>142</v>
      </c>
      <c r="H162">
        <v>17</v>
      </c>
      <c r="I162">
        <v>291</v>
      </c>
      <c r="J162">
        <v>515</v>
      </c>
      <c r="K162">
        <v>279</v>
      </c>
    </row>
    <row r="163" spans="1:11" x14ac:dyDescent="0.25">
      <c r="A163" t="s">
        <v>177</v>
      </c>
      <c r="B163" t="s">
        <v>172</v>
      </c>
      <c r="C163">
        <v>16</v>
      </c>
      <c r="D163">
        <v>155</v>
      </c>
      <c r="E163">
        <v>155</v>
      </c>
      <c r="F163">
        <v>240</v>
      </c>
      <c r="G163">
        <v>81</v>
      </c>
      <c r="H163">
        <v>1</v>
      </c>
      <c r="I163">
        <v>630</v>
      </c>
      <c r="J163">
        <v>477</v>
      </c>
      <c r="K163">
        <v>477</v>
      </c>
    </row>
    <row r="164" spans="1:11" x14ac:dyDescent="0.25">
      <c r="A164" t="s">
        <v>178</v>
      </c>
      <c r="B164" t="s">
        <v>172</v>
      </c>
      <c r="C164">
        <v>17</v>
      </c>
      <c r="D164">
        <v>2</v>
      </c>
      <c r="E164">
        <v>2</v>
      </c>
      <c r="F164">
        <v>4</v>
      </c>
      <c r="G164">
        <v>6</v>
      </c>
      <c r="H164">
        <v>32</v>
      </c>
      <c r="I164">
        <v>627</v>
      </c>
      <c r="J164">
        <v>625</v>
      </c>
      <c r="K164">
        <v>625</v>
      </c>
    </row>
    <row r="165" spans="1:11" x14ac:dyDescent="0.25">
      <c r="A165" t="s">
        <v>179</v>
      </c>
      <c r="B165" t="s">
        <v>172</v>
      </c>
      <c r="C165">
        <v>18</v>
      </c>
      <c r="D165">
        <v>289</v>
      </c>
      <c r="E165">
        <v>289</v>
      </c>
      <c r="F165">
        <v>183</v>
      </c>
      <c r="G165">
        <v>115</v>
      </c>
      <c r="H165">
        <v>211</v>
      </c>
      <c r="I165">
        <v>476</v>
      </c>
      <c r="J165">
        <v>988</v>
      </c>
      <c r="K165">
        <v>463</v>
      </c>
    </row>
    <row r="166" spans="1:11" x14ac:dyDescent="0.25">
      <c r="A166" t="s">
        <v>180</v>
      </c>
      <c r="B166" t="s">
        <v>172</v>
      </c>
      <c r="C166">
        <v>2</v>
      </c>
      <c r="D166">
        <v>1</v>
      </c>
      <c r="E166">
        <v>1</v>
      </c>
      <c r="F166">
        <v>21</v>
      </c>
      <c r="G166">
        <v>2</v>
      </c>
      <c r="H166">
        <v>186</v>
      </c>
      <c r="I166">
        <v>12</v>
      </c>
      <c r="J166">
        <v>2</v>
      </c>
      <c r="K166">
        <v>1</v>
      </c>
    </row>
    <row r="167" spans="1:11" x14ac:dyDescent="0.25">
      <c r="A167" t="s">
        <v>181</v>
      </c>
      <c r="B167" t="s">
        <v>172</v>
      </c>
      <c r="C167">
        <v>20</v>
      </c>
      <c r="D167">
        <v>20</v>
      </c>
      <c r="E167">
        <v>20</v>
      </c>
      <c r="F167">
        <v>118</v>
      </c>
      <c r="G167">
        <v>82</v>
      </c>
      <c r="H167">
        <v>547</v>
      </c>
      <c r="I167">
        <v>1037</v>
      </c>
      <c r="J167">
        <v>1037</v>
      </c>
      <c r="K167">
        <v>1037</v>
      </c>
    </row>
    <row r="168" spans="1:11" x14ac:dyDescent="0.25">
      <c r="A168" t="s">
        <v>182</v>
      </c>
      <c r="B168" t="s">
        <v>172</v>
      </c>
      <c r="C168">
        <v>21</v>
      </c>
      <c r="D168">
        <v>219</v>
      </c>
      <c r="E168">
        <v>219</v>
      </c>
      <c r="F168">
        <v>7</v>
      </c>
      <c r="G168">
        <v>8</v>
      </c>
      <c r="H168">
        <v>14</v>
      </c>
      <c r="I168">
        <v>1</v>
      </c>
      <c r="J168">
        <v>10</v>
      </c>
      <c r="K168">
        <v>1</v>
      </c>
    </row>
    <row r="169" spans="1:11" x14ac:dyDescent="0.25">
      <c r="A169" t="s">
        <v>183</v>
      </c>
      <c r="B169" t="s">
        <v>172</v>
      </c>
      <c r="C169">
        <v>22</v>
      </c>
      <c r="D169">
        <v>201</v>
      </c>
      <c r="E169">
        <v>201</v>
      </c>
      <c r="F169">
        <v>150</v>
      </c>
      <c r="G169">
        <v>102</v>
      </c>
      <c r="H169">
        <v>167</v>
      </c>
      <c r="I169">
        <v>265</v>
      </c>
      <c r="J169">
        <v>550</v>
      </c>
      <c r="K169">
        <v>258</v>
      </c>
    </row>
    <row r="170" spans="1:11" x14ac:dyDescent="0.25">
      <c r="A170" t="s">
        <v>184</v>
      </c>
      <c r="B170" t="s">
        <v>172</v>
      </c>
      <c r="C170">
        <v>23</v>
      </c>
      <c r="D170">
        <v>390</v>
      </c>
      <c r="E170">
        <v>393</v>
      </c>
      <c r="F170">
        <v>46</v>
      </c>
      <c r="G170">
        <v>194</v>
      </c>
      <c r="H170">
        <v>1</v>
      </c>
      <c r="I170">
        <v>1005</v>
      </c>
      <c r="J170">
        <v>636</v>
      </c>
      <c r="K170">
        <v>636</v>
      </c>
    </row>
    <row r="171" spans="1:11" x14ac:dyDescent="0.25">
      <c r="A171" t="s">
        <v>185</v>
      </c>
      <c r="B171" t="s">
        <v>172</v>
      </c>
      <c r="C171">
        <v>24</v>
      </c>
      <c r="D171">
        <v>651</v>
      </c>
      <c r="E171">
        <v>651</v>
      </c>
      <c r="F171">
        <v>81</v>
      </c>
      <c r="G171">
        <v>394</v>
      </c>
      <c r="H171">
        <v>217</v>
      </c>
      <c r="I171">
        <v>4</v>
      </c>
      <c r="J171">
        <v>653</v>
      </c>
      <c r="K171">
        <v>4</v>
      </c>
    </row>
    <row r="172" spans="1:11" x14ac:dyDescent="0.25">
      <c r="A172" t="s">
        <v>186</v>
      </c>
      <c r="B172" t="s">
        <v>172</v>
      </c>
      <c r="C172">
        <v>25</v>
      </c>
      <c r="D172">
        <v>347</v>
      </c>
      <c r="E172">
        <v>353</v>
      </c>
      <c r="F172">
        <v>47</v>
      </c>
      <c r="G172">
        <v>219</v>
      </c>
      <c r="H172">
        <v>200</v>
      </c>
      <c r="I172">
        <v>17</v>
      </c>
      <c r="J172">
        <v>642</v>
      </c>
      <c r="K172">
        <v>17</v>
      </c>
    </row>
    <row r="173" spans="1:11" x14ac:dyDescent="0.25">
      <c r="A173" t="s">
        <v>187</v>
      </c>
      <c r="B173" t="s">
        <v>172</v>
      </c>
      <c r="C173">
        <v>26</v>
      </c>
      <c r="D173">
        <v>456</v>
      </c>
      <c r="E173">
        <v>453</v>
      </c>
      <c r="F173">
        <v>84</v>
      </c>
      <c r="G173">
        <v>39</v>
      </c>
      <c r="H173">
        <v>90</v>
      </c>
      <c r="I173">
        <v>556</v>
      </c>
      <c r="J173">
        <v>382</v>
      </c>
      <c r="K173">
        <v>289</v>
      </c>
    </row>
    <row r="174" spans="1:11" x14ac:dyDescent="0.25">
      <c r="A174" t="s">
        <v>188</v>
      </c>
      <c r="B174" t="s">
        <v>172</v>
      </c>
      <c r="C174">
        <v>27</v>
      </c>
      <c r="D174">
        <v>581</v>
      </c>
      <c r="E174">
        <v>583</v>
      </c>
      <c r="F174">
        <v>584</v>
      </c>
      <c r="G174">
        <v>202</v>
      </c>
      <c r="H174">
        <v>115</v>
      </c>
      <c r="I174">
        <v>22</v>
      </c>
      <c r="J174">
        <v>589</v>
      </c>
      <c r="K174">
        <v>11</v>
      </c>
    </row>
    <row r="175" spans="1:11" x14ac:dyDescent="0.25">
      <c r="A175" t="s">
        <v>189</v>
      </c>
      <c r="B175" t="s">
        <v>172</v>
      </c>
      <c r="C175">
        <v>28</v>
      </c>
      <c r="D175">
        <v>175</v>
      </c>
      <c r="E175">
        <v>175</v>
      </c>
      <c r="F175">
        <v>252</v>
      </c>
      <c r="G175">
        <v>209</v>
      </c>
      <c r="H175">
        <v>144</v>
      </c>
      <c r="I175">
        <v>26</v>
      </c>
      <c r="J175">
        <v>9</v>
      </c>
      <c r="K175">
        <v>9</v>
      </c>
    </row>
    <row r="176" spans="1:11" x14ac:dyDescent="0.25">
      <c r="A176" t="s">
        <v>190</v>
      </c>
      <c r="B176" t="s">
        <v>172</v>
      </c>
      <c r="C176">
        <v>3</v>
      </c>
      <c r="D176">
        <v>614</v>
      </c>
      <c r="E176">
        <v>577</v>
      </c>
      <c r="F176">
        <v>49</v>
      </c>
      <c r="G176">
        <v>133</v>
      </c>
      <c r="H176">
        <v>821</v>
      </c>
      <c r="I176">
        <v>26</v>
      </c>
      <c r="J176">
        <v>620</v>
      </c>
      <c r="K176">
        <v>26</v>
      </c>
    </row>
    <row r="177" spans="1:11" x14ac:dyDescent="0.25">
      <c r="A177" t="s">
        <v>191</v>
      </c>
      <c r="B177" t="s">
        <v>172</v>
      </c>
      <c r="C177">
        <v>32</v>
      </c>
      <c r="D177">
        <v>376</v>
      </c>
      <c r="E177">
        <v>400</v>
      </c>
      <c r="F177">
        <v>645</v>
      </c>
      <c r="G177">
        <v>212</v>
      </c>
      <c r="H177">
        <v>116</v>
      </c>
      <c r="I177">
        <v>14</v>
      </c>
      <c r="J177">
        <v>532</v>
      </c>
      <c r="K177">
        <v>2</v>
      </c>
    </row>
    <row r="178" spans="1:11" x14ac:dyDescent="0.25">
      <c r="A178" t="s">
        <v>192</v>
      </c>
      <c r="B178" t="s">
        <v>172</v>
      </c>
      <c r="C178">
        <v>33</v>
      </c>
      <c r="D178">
        <v>380</v>
      </c>
      <c r="E178">
        <v>161</v>
      </c>
      <c r="F178">
        <v>274</v>
      </c>
      <c r="G178">
        <v>241</v>
      </c>
      <c r="H178">
        <v>371</v>
      </c>
      <c r="I178">
        <v>428</v>
      </c>
      <c r="J178">
        <v>518</v>
      </c>
      <c r="K178">
        <v>413</v>
      </c>
    </row>
    <row r="179" spans="1:11" x14ac:dyDescent="0.25">
      <c r="A179" t="s">
        <v>193</v>
      </c>
      <c r="B179" t="s">
        <v>172</v>
      </c>
      <c r="C179">
        <v>34</v>
      </c>
      <c r="D179">
        <v>413</v>
      </c>
      <c r="E179">
        <v>408</v>
      </c>
      <c r="F179">
        <v>86</v>
      </c>
      <c r="G179">
        <v>121</v>
      </c>
      <c r="H179">
        <v>118</v>
      </c>
      <c r="I179">
        <v>234</v>
      </c>
      <c r="J179">
        <v>456</v>
      </c>
      <c r="K179">
        <v>233</v>
      </c>
    </row>
    <row r="180" spans="1:11" x14ac:dyDescent="0.25">
      <c r="A180" t="s">
        <v>194</v>
      </c>
      <c r="B180" t="s">
        <v>172</v>
      </c>
      <c r="C180">
        <v>35</v>
      </c>
      <c r="D180">
        <v>424</v>
      </c>
      <c r="E180">
        <v>424</v>
      </c>
      <c r="F180">
        <v>85</v>
      </c>
      <c r="G180">
        <v>144</v>
      </c>
      <c r="H180">
        <v>23</v>
      </c>
      <c r="I180">
        <v>21</v>
      </c>
      <c r="J180">
        <v>461</v>
      </c>
      <c r="K180">
        <v>21</v>
      </c>
    </row>
    <row r="181" spans="1:11" x14ac:dyDescent="0.25">
      <c r="A181" t="s">
        <v>195</v>
      </c>
      <c r="B181" t="s">
        <v>172</v>
      </c>
      <c r="C181">
        <v>37</v>
      </c>
      <c r="D181">
        <v>381</v>
      </c>
      <c r="E181">
        <v>384</v>
      </c>
      <c r="F181">
        <v>204</v>
      </c>
      <c r="G181">
        <v>261</v>
      </c>
      <c r="H181">
        <v>252</v>
      </c>
      <c r="I181">
        <v>166</v>
      </c>
      <c r="J181">
        <v>246</v>
      </c>
      <c r="K181">
        <v>159</v>
      </c>
    </row>
    <row r="182" spans="1:11" x14ac:dyDescent="0.25">
      <c r="A182" t="s">
        <v>196</v>
      </c>
      <c r="B182" t="s">
        <v>172</v>
      </c>
      <c r="C182">
        <v>6</v>
      </c>
      <c r="D182">
        <v>860</v>
      </c>
      <c r="E182">
        <v>860</v>
      </c>
      <c r="F182">
        <v>39</v>
      </c>
      <c r="G182">
        <v>396</v>
      </c>
      <c r="H182">
        <v>91</v>
      </c>
      <c r="I182">
        <v>79</v>
      </c>
      <c r="J182">
        <v>660</v>
      </c>
      <c r="K182">
        <v>72</v>
      </c>
    </row>
    <row r="183" spans="1:11" x14ac:dyDescent="0.25">
      <c r="A183" t="s">
        <v>197</v>
      </c>
      <c r="B183" t="s">
        <v>198</v>
      </c>
      <c r="C183">
        <v>1</v>
      </c>
      <c r="D183">
        <v>989</v>
      </c>
      <c r="E183">
        <v>989</v>
      </c>
      <c r="F183">
        <v>18</v>
      </c>
      <c r="G183">
        <v>521</v>
      </c>
      <c r="H183">
        <v>23</v>
      </c>
      <c r="I183">
        <v>140</v>
      </c>
      <c r="J183">
        <v>3419</v>
      </c>
      <c r="K183">
        <v>140</v>
      </c>
    </row>
    <row r="184" spans="1:11" x14ac:dyDescent="0.25">
      <c r="A184" t="s">
        <v>199</v>
      </c>
      <c r="B184" t="s">
        <v>198</v>
      </c>
      <c r="C184">
        <v>10</v>
      </c>
      <c r="D184">
        <v>1384</v>
      </c>
      <c r="E184">
        <v>1365</v>
      </c>
      <c r="F184">
        <v>223</v>
      </c>
      <c r="G184">
        <v>1210</v>
      </c>
      <c r="H184">
        <v>1310</v>
      </c>
      <c r="I184">
        <v>10</v>
      </c>
      <c r="J184">
        <v>175</v>
      </c>
      <c r="K184">
        <v>10</v>
      </c>
    </row>
    <row r="185" spans="1:11" x14ac:dyDescent="0.25">
      <c r="A185" t="s">
        <v>200</v>
      </c>
      <c r="B185" t="s">
        <v>198</v>
      </c>
      <c r="C185">
        <v>11</v>
      </c>
      <c r="D185">
        <v>402</v>
      </c>
      <c r="E185">
        <v>402</v>
      </c>
      <c r="F185">
        <v>412</v>
      </c>
      <c r="G185">
        <v>157</v>
      </c>
      <c r="H185">
        <v>1036</v>
      </c>
      <c r="I185">
        <v>3</v>
      </c>
      <c r="J185">
        <v>1</v>
      </c>
      <c r="K185">
        <v>1</v>
      </c>
    </row>
    <row r="186" spans="1:11" x14ac:dyDescent="0.25">
      <c r="A186" t="s">
        <v>201</v>
      </c>
      <c r="B186" t="s">
        <v>198</v>
      </c>
      <c r="C186">
        <v>12</v>
      </c>
      <c r="D186">
        <v>1531</v>
      </c>
      <c r="E186">
        <v>1527</v>
      </c>
      <c r="F186">
        <v>2</v>
      </c>
      <c r="G186">
        <v>214</v>
      </c>
      <c r="H186">
        <v>708</v>
      </c>
      <c r="I186">
        <v>16</v>
      </c>
      <c r="J186">
        <v>851</v>
      </c>
      <c r="K186">
        <v>16</v>
      </c>
    </row>
    <row r="187" spans="1:11" x14ac:dyDescent="0.25">
      <c r="A187" t="s">
        <v>202</v>
      </c>
      <c r="B187" t="s">
        <v>198</v>
      </c>
      <c r="C187">
        <v>14</v>
      </c>
      <c r="D187">
        <v>2003</v>
      </c>
      <c r="E187">
        <v>1986</v>
      </c>
      <c r="F187">
        <v>377</v>
      </c>
      <c r="G187">
        <v>1448</v>
      </c>
      <c r="H187">
        <v>648</v>
      </c>
      <c r="I187">
        <v>13</v>
      </c>
      <c r="J187">
        <v>959</v>
      </c>
      <c r="K187">
        <v>7</v>
      </c>
    </row>
    <row r="188" spans="1:11" x14ac:dyDescent="0.25">
      <c r="A188" t="s">
        <v>203</v>
      </c>
      <c r="B188" t="s">
        <v>198</v>
      </c>
      <c r="C188">
        <v>17</v>
      </c>
      <c r="D188">
        <v>1050</v>
      </c>
      <c r="E188">
        <v>1050</v>
      </c>
      <c r="F188">
        <v>343</v>
      </c>
      <c r="G188">
        <v>282</v>
      </c>
      <c r="H188">
        <v>558</v>
      </c>
      <c r="I188">
        <v>2</v>
      </c>
      <c r="J188">
        <v>3280</v>
      </c>
      <c r="K188">
        <v>2</v>
      </c>
    </row>
    <row r="189" spans="1:11" x14ac:dyDescent="0.25">
      <c r="A189" t="s">
        <v>204</v>
      </c>
      <c r="B189" t="s">
        <v>198</v>
      </c>
      <c r="C189">
        <v>18</v>
      </c>
      <c r="D189">
        <v>1091</v>
      </c>
      <c r="E189">
        <v>1074</v>
      </c>
      <c r="F189">
        <v>49</v>
      </c>
      <c r="G189">
        <v>632</v>
      </c>
      <c r="H189">
        <v>740</v>
      </c>
      <c r="I189">
        <v>18</v>
      </c>
      <c r="J189">
        <v>964</v>
      </c>
      <c r="K189">
        <v>18</v>
      </c>
    </row>
    <row r="190" spans="1:11" x14ac:dyDescent="0.25">
      <c r="A190" t="s">
        <v>205</v>
      </c>
      <c r="B190" t="s">
        <v>198</v>
      </c>
      <c r="C190">
        <v>19</v>
      </c>
      <c r="D190">
        <v>1234</v>
      </c>
      <c r="E190">
        <v>1234</v>
      </c>
      <c r="F190">
        <v>11</v>
      </c>
      <c r="G190">
        <v>705</v>
      </c>
      <c r="H190">
        <v>938</v>
      </c>
      <c r="I190">
        <v>718</v>
      </c>
      <c r="J190">
        <v>3270</v>
      </c>
      <c r="K190">
        <v>718</v>
      </c>
    </row>
    <row r="191" spans="1:11" x14ac:dyDescent="0.25">
      <c r="A191" t="s">
        <v>206</v>
      </c>
      <c r="B191" t="s">
        <v>198</v>
      </c>
      <c r="C191">
        <v>2</v>
      </c>
      <c r="D191">
        <v>1648</v>
      </c>
      <c r="E191">
        <v>1646</v>
      </c>
      <c r="F191">
        <v>383</v>
      </c>
      <c r="G191">
        <v>581</v>
      </c>
      <c r="H191">
        <v>109</v>
      </c>
      <c r="I191">
        <v>139</v>
      </c>
      <c r="J191">
        <v>1000</v>
      </c>
      <c r="K191">
        <v>81</v>
      </c>
    </row>
    <row r="192" spans="1:11" x14ac:dyDescent="0.25">
      <c r="A192" t="s">
        <v>207</v>
      </c>
      <c r="B192" t="s">
        <v>198</v>
      </c>
      <c r="C192">
        <v>21</v>
      </c>
      <c r="D192">
        <v>992</v>
      </c>
      <c r="E192">
        <v>992</v>
      </c>
      <c r="F192">
        <v>238</v>
      </c>
      <c r="G192">
        <v>102</v>
      </c>
      <c r="H192">
        <v>25</v>
      </c>
      <c r="I192">
        <v>22</v>
      </c>
      <c r="J192">
        <v>3265</v>
      </c>
      <c r="K192">
        <v>22</v>
      </c>
    </row>
    <row r="193" spans="1:11" x14ac:dyDescent="0.25">
      <c r="A193" t="s">
        <v>208</v>
      </c>
      <c r="B193" t="s">
        <v>198</v>
      </c>
      <c r="C193">
        <v>22</v>
      </c>
      <c r="D193">
        <v>1034</v>
      </c>
      <c r="E193">
        <v>1025</v>
      </c>
      <c r="F193">
        <v>111</v>
      </c>
      <c r="G193">
        <v>196</v>
      </c>
      <c r="H193">
        <v>769</v>
      </c>
      <c r="I193">
        <v>48</v>
      </c>
      <c r="J193">
        <v>1588</v>
      </c>
      <c r="K193">
        <v>48</v>
      </c>
    </row>
    <row r="194" spans="1:11" x14ac:dyDescent="0.25">
      <c r="A194" t="s">
        <v>209</v>
      </c>
      <c r="B194" t="s">
        <v>198</v>
      </c>
      <c r="C194">
        <v>23</v>
      </c>
      <c r="D194">
        <v>226</v>
      </c>
      <c r="E194">
        <v>226</v>
      </c>
      <c r="F194">
        <v>38</v>
      </c>
      <c r="G194">
        <v>41</v>
      </c>
      <c r="H194">
        <v>59</v>
      </c>
      <c r="I194">
        <v>7</v>
      </c>
      <c r="J194">
        <v>3237</v>
      </c>
      <c r="K194">
        <v>7</v>
      </c>
    </row>
    <row r="195" spans="1:11" x14ac:dyDescent="0.25">
      <c r="A195" t="s">
        <v>210</v>
      </c>
      <c r="B195" t="s">
        <v>198</v>
      </c>
      <c r="C195">
        <v>27</v>
      </c>
      <c r="D195">
        <v>992</v>
      </c>
      <c r="E195">
        <v>1002</v>
      </c>
      <c r="F195">
        <v>1246</v>
      </c>
      <c r="G195">
        <v>668</v>
      </c>
      <c r="H195">
        <v>344</v>
      </c>
      <c r="I195">
        <v>297</v>
      </c>
      <c r="J195">
        <v>538</v>
      </c>
      <c r="K195">
        <v>150</v>
      </c>
    </row>
    <row r="196" spans="1:11" x14ac:dyDescent="0.25">
      <c r="A196" t="s">
        <v>211</v>
      </c>
      <c r="B196" t="s">
        <v>198</v>
      </c>
      <c r="C196">
        <v>3</v>
      </c>
      <c r="D196">
        <v>1792</v>
      </c>
      <c r="E196">
        <v>1788</v>
      </c>
      <c r="F196">
        <v>59</v>
      </c>
      <c r="G196">
        <v>167</v>
      </c>
      <c r="H196">
        <v>700</v>
      </c>
      <c r="I196">
        <v>19</v>
      </c>
      <c r="J196">
        <v>434</v>
      </c>
      <c r="K196">
        <v>18</v>
      </c>
    </row>
    <row r="197" spans="1:11" x14ac:dyDescent="0.25">
      <c r="A197" t="s">
        <v>212</v>
      </c>
      <c r="B197" t="s">
        <v>198</v>
      </c>
      <c r="C197">
        <v>4</v>
      </c>
      <c r="D197">
        <v>1686</v>
      </c>
      <c r="E197">
        <v>1685</v>
      </c>
      <c r="F197">
        <v>728</v>
      </c>
      <c r="G197">
        <v>524</v>
      </c>
      <c r="H197">
        <v>1699</v>
      </c>
      <c r="I197">
        <v>24</v>
      </c>
      <c r="J197">
        <v>512</v>
      </c>
      <c r="K197">
        <v>19</v>
      </c>
    </row>
    <row r="198" spans="1:11" x14ac:dyDescent="0.25">
      <c r="A198" t="s">
        <v>213</v>
      </c>
      <c r="B198" t="s">
        <v>198</v>
      </c>
      <c r="C198">
        <v>7</v>
      </c>
      <c r="D198">
        <v>53</v>
      </c>
      <c r="E198">
        <v>53</v>
      </c>
      <c r="F198">
        <v>31</v>
      </c>
      <c r="G198">
        <v>24</v>
      </c>
      <c r="H198">
        <v>67</v>
      </c>
      <c r="I198">
        <v>23</v>
      </c>
      <c r="J198">
        <v>956</v>
      </c>
      <c r="K198">
        <v>23</v>
      </c>
    </row>
    <row r="199" spans="1:11" x14ac:dyDescent="0.25">
      <c r="A199" t="s">
        <v>214</v>
      </c>
      <c r="B199" t="s">
        <v>198</v>
      </c>
      <c r="C199">
        <v>9</v>
      </c>
      <c r="D199">
        <v>426</v>
      </c>
      <c r="E199">
        <v>440</v>
      </c>
      <c r="F199">
        <v>187</v>
      </c>
      <c r="G199">
        <v>139</v>
      </c>
      <c r="H199">
        <v>201</v>
      </c>
      <c r="I199">
        <v>71</v>
      </c>
      <c r="J199">
        <v>1009</v>
      </c>
      <c r="K199">
        <v>42</v>
      </c>
    </row>
    <row r="209" customFormat="1" x14ac:dyDescent="0.25"/>
    <row r="210" customFormat="1" x14ac:dyDescent="0.25"/>
    <row r="211" customFormat="1" x14ac:dyDescent="0.25"/>
  </sheetData>
  <autoFilter ref="B1:B199" xr:uid="{00000000-0001-0000-0000-000000000000}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37A7C-8CA4-441C-926B-135E2CD4F22C}">
  <dimension ref="A1:N24"/>
  <sheetViews>
    <sheetView topLeftCell="A10" workbookViewId="0">
      <selection activeCell="A18" sqref="A18:XFD29"/>
    </sheetView>
  </sheetViews>
  <sheetFormatPr defaultRowHeight="13.8" x14ac:dyDescent="0.25"/>
  <cols>
    <col min="1" max="1" width="19.88671875" customWidth="1"/>
    <col min="10" max="10" width="21.109375" customWidth="1"/>
    <col min="11" max="11" width="2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1</v>
      </c>
      <c r="D2">
        <v>582</v>
      </c>
      <c r="E2">
        <v>582</v>
      </c>
      <c r="F2">
        <v>56</v>
      </c>
      <c r="G2">
        <v>234</v>
      </c>
      <c r="H2">
        <v>323</v>
      </c>
      <c r="I2">
        <v>37</v>
      </c>
      <c r="J2">
        <v>227</v>
      </c>
      <c r="K2">
        <v>37</v>
      </c>
    </row>
    <row r="3" spans="1:11" x14ac:dyDescent="0.25">
      <c r="A3" t="s">
        <v>13</v>
      </c>
      <c r="B3" t="s">
        <v>12</v>
      </c>
      <c r="C3">
        <v>12</v>
      </c>
      <c r="D3">
        <v>507</v>
      </c>
      <c r="E3">
        <v>507</v>
      </c>
      <c r="F3">
        <v>5</v>
      </c>
      <c r="G3">
        <v>392</v>
      </c>
      <c r="H3">
        <v>254</v>
      </c>
      <c r="I3">
        <v>3</v>
      </c>
      <c r="J3">
        <v>114</v>
      </c>
      <c r="K3">
        <v>3</v>
      </c>
    </row>
    <row r="4" spans="1:11" x14ac:dyDescent="0.25">
      <c r="A4" t="s">
        <v>14</v>
      </c>
      <c r="B4" t="s">
        <v>12</v>
      </c>
      <c r="C4">
        <v>14</v>
      </c>
      <c r="D4">
        <v>499</v>
      </c>
      <c r="E4">
        <v>499</v>
      </c>
      <c r="F4">
        <v>135</v>
      </c>
      <c r="G4">
        <v>166</v>
      </c>
      <c r="H4">
        <v>231</v>
      </c>
      <c r="I4">
        <v>0</v>
      </c>
      <c r="J4">
        <v>224</v>
      </c>
      <c r="K4">
        <v>0</v>
      </c>
    </row>
    <row r="5" spans="1:11" x14ac:dyDescent="0.25">
      <c r="A5" t="s">
        <v>15</v>
      </c>
      <c r="B5" t="s">
        <v>12</v>
      </c>
      <c r="C5">
        <v>15</v>
      </c>
      <c r="D5">
        <v>977</v>
      </c>
      <c r="E5">
        <v>972</v>
      </c>
      <c r="F5">
        <v>206</v>
      </c>
      <c r="G5">
        <v>414</v>
      </c>
      <c r="H5">
        <v>99</v>
      </c>
      <c r="I5">
        <v>2</v>
      </c>
      <c r="J5">
        <v>32</v>
      </c>
      <c r="K5">
        <v>2</v>
      </c>
    </row>
    <row r="6" spans="1:11" x14ac:dyDescent="0.25">
      <c r="A6" t="s">
        <v>16</v>
      </c>
      <c r="B6" t="s">
        <v>12</v>
      </c>
      <c r="C6">
        <v>18</v>
      </c>
      <c r="D6">
        <v>69</v>
      </c>
      <c r="E6">
        <v>69</v>
      </c>
      <c r="F6">
        <v>26</v>
      </c>
      <c r="G6">
        <v>2</v>
      </c>
      <c r="H6">
        <v>1</v>
      </c>
      <c r="I6">
        <v>0</v>
      </c>
      <c r="J6">
        <v>135</v>
      </c>
      <c r="K6">
        <v>0</v>
      </c>
    </row>
    <row r="7" spans="1:11" x14ac:dyDescent="0.25">
      <c r="A7" t="s">
        <v>17</v>
      </c>
      <c r="B7" t="s">
        <v>12</v>
      </c>
      <c r="C7">
        <v>19</v>
      </c>
      <c r="D7">
        <v>724</v>
      </c>
      <c r="E7">
        <v>724</v>
      </c>
      <c r="F7">
        <v>32</v>
      </c>
      <c r="G7">
        <v>483</v>
      </c>
      <c r="H7">
        <v>535</v>
      </c>
      <c r="I7">
        <v>0</v>
      </c>
      <c r="J7">
        <v>149</v>
      </c>
      <c r="K7">
        <v>0</v>
      </c>
    </row>
    <row r="8" spans="1:11" x14ac:dyDescent="0.25">
      <c r="A8" t="s">
        <v>18</v>
      </c>
      <c r="B8" t="s">
        <v>12</v>
      </c>
      <c r="C8">
        <v>2</v>
      </c>
      <c r="D8">
        <v>61</v>
      </c>
      <c r="E8">
        <v>55</v>
      </c>
      <c r="F8">
        <v>113</v>
      </c>
      <c r="G8">
        <v>26</v>
      </c>
      <c r="H8">
        <v>99</v>
      </c>
      <c r="I8">
        <v>16</v>
      </c>
      <c r="J8">
        <v>90</v>
      </c>
      <c r="K8">
        <v>11</v>
      </c>
    </row>
    <row r="9" spans="1:11" x14ac:dyDescent="0.25">
      <c r="A9" t="s">
        <v>19</v>
      </c>
      <c r="B9" t="s">
        <v>12</v>
      </c>
      <c r="C9">
        <v>20</v>
      </c>
      <c r="D9">
        <v>25</v>
      </c>
      <c r="E9">
        <v>25</v>
      </c>
      <c r="F9">
        <v>1</v>
      </c>
      <c r="G9">
        <v>14</v>
      </c>
      <c r="H9">
        <v>46</v>
      </c>
      <c r="I9">
        <v>94</v>
      </c>
      <c r="J9">
        <v>116</v>
      </c>
      <c r="K9">
        <v>94</v>
      </c>
    </row>
    <row r="10" spans="1:11" x14ac:dyDescent="0.25">
      <c r="A10" t="s">
        <v>20</v>
      </c>
      <c r="B10" t="s">
        <v>12</v>
      </c>
      <c r="C10">
        <v>21</v>
      </c>
      <c r="D10">
        <v>34</v>
      </c>
      <c r="E10">
        <v>34</v>
      </c>
      <c r="F10">
        <v>38</v>
      </c>
      <c r="G10">
        <v>36</v>
      </c>
      <c r="H10">
        <v>8</v>
      </c>
      <c r="I10">
        <v>1</v>
      </c>
      <c r="J10">
        <v>10</v>
      </c>
      <c r="K10">
        <v>1</v>
      </c>
    </row>
    <row r="11" spans="1:11" x14ac:dyDescent="0.25">
      <c r="A11" t="s">
        <v>21</v>
      </c>
      <c r="B11" t="s">
        <v>12</v>
      </c>
      <c r="C11">
        <v>25</v>
      </c>
      <c r="D11">
        <v>3116</v>
      </c>
      <c r="E11">
        <v>2947</v>
      </c>
      <c r="F11">
        <v>2945</v>
      </c>
      <c r="G11">
        <v>192</v>
      </c>
      <c r="H11">
        <v>1020</v>
      </c>
      <c r="I11">
        <v>1</v>
      </c>
      <c r="J11">
        <v>1</v>
      </c>
      <c r="K11">
        <v>1</v>
      </c>
    </row>
    <row r="12" spans="1:11" x14ac:dyDescent="0.25">
      <c r="A12" t="s">
        <v>22</v>
      </c>
      <c r="B12" t="s">
        <v>12</v>
      </c>
      <c r="C12">
        <v>3</v>
      </c>
      <c r="D12">
        <v>136</v>
      </c>
      <c r="E12">
        <v>136</v>
      </c>
      <c r="F12">
        <v>84</v>
      </c>
      <c r="G12">
        <v>113</v>
      </c>
      <c r="H12">
        <v>83</v>
      </c>
      <c r="I12">
        <v>2</v>
      </c>
      <c r="J12">
        <v>43</v>
      </c>
      <c r="K12">
        <v>2</v>
      </c>
    </row>
    <row r="13" spans="1:11" x14ac:dyDescent="0.25">
      <c r="A13" t="s">
        <v>23</v>
      </c>
      <c r="B13" t="s">
        <v>12</v>
      </c>
      <c r="C13">
        <v>6</v>
      </c>
      <c r="D13">
        <v>58</v>
      </c>
      <c r="E13">
        <v>58</v>
      </c>
      <c r="F13">
        <v>86</v>
      </c>
      <c r="G13">
        <v>73</v>
      </c>
      <c r="H13">
        <v>10</v>
      </c>
      <c r="I13">
        <v>221</v>
      </c>
      <c r="J13">
        <v>68</v>
      </c>
      <c r="K13">
        <v>62</v>
      </c>
    </row>
    <row r="14" spans="1:11" x14ac:dyDescent="0.25">
      <c r="A14" t="s">
        <v>24</v>
      </c>
      <c r="B14" t="s">
        <v>12</v>
      </c>
      <c r="C14">
        <v>7</v>
      </c>
      <c r="D14">
        <v>35</v>
      </c>
      <c r="E14">
        <v>35</v>
      </c>
      <c r="F14">
        <v>59</v>
      </c>
      <c r="G14">
        <v>37</v>
      </c>
      <c r="H14">
        <v>64</v>
      </c>
      <c r="I14">
        <v>12</v>
      </c>
      <c r="J14">
        <v>12</v>
      </c>
      <c r="K14">
        <v>12</v>
      </c>
    </row>
    <row r="15" spans="1:11" x14ac:dyDescent="0.25">
      <c r="A15" t="s">
        <v>25</v>
      </c>
      <c r="B15" t="s">
        <v>12</v>
      </c>
      <c r="C15">
        <v>8</v>
      </c>
      <c r="D15">
        <v>1</v>
      </c>
      <c r="E15">
        <v>1</v>
      </c>
      <c r="F15">
        <v>1</v>
      </c>
      <c r="G15">
        <v>18</v>
      </c>
      <c r="H15">
        <v>9</v>
      </c>
      <c r="I15">
        <v>2</v>
      </c>
      <c r="J15">
        <v>2</v>
      </c>
      <c r="K15">
        <v>2</v>
      </c>
    </row>
    <row r="16" spans="1:11" x14ac:dyDescent="0.25">
      <c r="A16" t="s">
        <v>26</v>
      </c>
      <c r="B16" t="s">
        <v>12</v>
      </c>
      <c r="C16">
        <v>9</v>
      </c>
      <c r="D16">
        <v>190</v>
      </c>
      <c r="E16">
        <v>187</v>
      </c>
      <c r="F16">
        <v>87</v>
      </c>
      <c r="G16">
        <v>85</v>
      </c>
      <c r="H16">
        <v>10</v>
      </c>
      <c r="I16">
        <v>1</v>
      </c>
      <c r="J16">
        <v>10</v>
      </c>
      <c r="K16">
        <v>0</v>
      </c>
    </row>
    <row r="18" spans="1:14" x14ac:dyDescent="0.25">
      <c r="I18" t="s">
        <v>216</v>
      </c>
      <c r="J18" t="s">
        <v>217</v>
      </c>
      <c r="K18" t="s">
        <v>218</v>
      </c>
      <c r="L18" t="s">
        <v>219</v>
      </c>
      <c r="M18" t="s">
        <v>220</v>
      </c>
      <c r="N18" t="s">
        <v>221</v>
      </c>
    </row>
    <row r="19" spans="1:14" x14ac:dyDescent="0.25">
      <c r="I19">
        <f>SUM(I2:I16)</f>
        <v>392</v>
      </c>
      <c r="J19">
        <f t="shared" ref="J19:K19" si="0">SUM(J2:J16)</f>
        <v>1233</v>
      </c>
      <c r="K19">
        <f t="shared" si="0"/>
        <v>227</v>
      </c>
      <c r="L19">
        <f>K19/J19</f>
        <v>0.18410381184103811</v>
      </c>
      <c r="M19">
        <f>K19/I19</f>
        <v>0.57908163265306123</v>
      </c>
      <c r="N19">
        <f>2*L19*M19/(L19+M19)</f>
        <v>0.2793846153846154</v>
      </c>
    </row>
    <row r="20" spans="1:14" x14ac:dyDescent="0.25">
      <c r="A20" t="s">
        <v>215</v>
      </c>
      <c r="D20">
        <f>AVERAGE(D2:D16)</f>
        <v>467.6</v>
      </c>
      <c r="E20">
        <f t="shared" ref="E20:H20" si="1">AVERAGE(E2:E16)</f>
        <v>455.4</v>
      </c>
      <c r="F20">
        <f t="shared" si="1"/>
        <v>258.26666666666665</v>
      </c>
      <c r="G20">
        <f t="shared" si="1"/>
        <v>152.33333333333334</v>
      </c>
      <c r="H20">
        <f t="shared" si="1"/>
        <v>186.13333333333333</v>
      </c>
    </row>
    <row r="22" spans="1:14" x14ac:dyDescent="0.25">
      <c r="A22" t="s">
        <v>222</v>
      </c>
      <c r="D22">
        <f>COUNTIF(D2:D16,"&lt;=1")</f>
        <v>1</v>
      </c>
      <c r="E22">
        <f t="shared" ref="E22:H22" si="2">COUNTIF(E2:E16,"&lt;=1")</f>
        <v>1</v>
      </c>
      <c r="F22">
        <f t="shared" si="2"/>
        <v>2</v>
      </c>
      <c r="G22">
        <f t="shared" si="2"/>
        <v>0</v>
      </c>
      <c r="H22">
        <f t="shared" si="2"/>
        <v>1</v>
      </c>
    </row>
    <row r="23" spans="1:14" x14ac:dyDescent="0.25">
      <c r="A23" t="s">
        <v>223</v>
      </c>
      <c r="D23">
        <f>COUNTIF(D2:D16,"&lt;=5")</f>
        <v>1</v>
      </c>
      <c r="E23">
        <f t="shared" ref="E23:H23" si="3">COUNTIF(E2:E16,"&lt;=5")</f>
        <v>1</v>
      </c>
      <c r="F23">
        <f t="shared" si="3"/>
        <v>3</v>
      </c>
      <c r="G23">
        <f t="shared" si="3"/>
        <v>1</v>
      </c>
      <c r="H23">
        <f t="shared" si="3"/>
        <v>1</v>
      </c>
    </row>
    <row r="24" spans="1:14" x14ac:dyDescent="0.25">
      <c r="A24" t="s">
        <v>224</v>
      </c>
      <c r="D24">
        <f>COUNTIF(D2:D16,"&lt;=10")</f>
        <v>1</v>
      </c>
      <c r="E24">
        <f t="shared" ref="E24:H24" si="4">COUNTIF(E2:E16,"&lt;=10")</f>
        <v>1</v>
      </c>
      <c r="F24">
        <f t="shared" si="4"/>
        <v>3</v>
      </c>
      <c r="G24">
        <f t="shared" si="4"/>
        <v>1</v>
      </c>
      <c r="H24">
        <f t="shared" si="4"/>
        <v>5</v>
      </c>
    </row>
  </sheetData>
  <phoneticPr fontId="18" type="noConversion"/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C7646-98D1-49BC-98DE-878D25423E2F}">
  <dimension ref="A1:N67"/>
  <sheetViews>
    <sheetView topLeftCell="A38" workbookViewId="0">
      <selection activeCell="A56" sqref="A56:XFD62"/>
    </sheetView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27</v>
      </c>
      <c r="B2" t="s">
        <v>28</v>
      </c>
      <c r="C2">
        <v>10</v>
      </c>
      <c r="D2">
        <v>2879</v>
      </c>
      <c r="E2">
        <v>2886</v>
      </c>
      <c r="F2">
        <v>751</v>
      </c>
      <c r="G2">
        <v>1272</v>
      </c>
      <c r="H2">
        <v>214</v>
      </c>
      <c r="I2">
        <v>29</v>
      </c>
      <c r="J2">
        <v>3630</v>
      </c>
      <c r="K2">
        <v>27</v>
      </c>
    </row>
    <row r="3" spans="1:11" x14ac:dyDescent="0.25">
      <c r="A3" t="s">
        <v>29</v>
      </c>
      <c r="B3" t="s">
        <v>28</v>
      </c>
      <c r="C3">
        <v>100</v>
      </c>
      <c r="D3">
        <v>1681</v>
      </c>
      <c r="E3">
        <v>1681</v>
      </c>
      <c r="F3">
        <v>484</v>
      </c>
      <c r="G3">
        <v>109</v>
      </c>
      <c r="H3">
        <v>257</v>
      </c>
      <c r="I3">
        <v>6</v>
      </c>
      <c r="J3">
        <v>59</v>
      </c>
      <c r="K3">
        <v>6</v>
      </c>
    </row>
    <row r="4" spans="1:11" x14ac:dyDescent="0.25">
      <c r="A4" t="s">
        <v>30</v>
      </c>
      <c r="B4" t="s">
        <v>28</v>
      </c>
      <c r="C4">
        <v>103</v>
      </c>
      <c r="D4">
        <v>1988</v>
      </c>
      <c r="E4">
        <v>2039</v>
      </c>
      <c r="F4">
        <v>2392</v>
      </c>
      <c r="G4">
        <v>2789</v>
      </c>
      <c r="H4">
        <v>2573</v>
      </c>
      <c r="I4">
        <v>1331</v>
      </c>
      <c r="J4">
        <v>384</v>
      </c>
      <c r="K4">
        <v>261</v>
      </c>
    </row>
    <row r="5" spans="1:11" x14ac:dyDescent="0.25">
      <c r="A5" t="s">
        <v>31</v>
      </c>
      <c r="B5" t="s">
        <v>28</v>
      </c>
      <c r="C5">
        <v>104</v>
      </c>
      <c r="D5">
        <v>662</v>
      </c>
      <c r="E5">
        <v>662</v>
      </c>
      <c r="F5">
        <v>19</v>
      </c>
      <c r="G5">
        <v>257</v>
      </c>
      <c r="H5">
        <v>4</v>
      </c>
      <c r="I5">
        <v>11</v>
      </c>
      <c r="J5">
        <v>1545</v>
      </c>
      <c r="K5">
        <v>11</v>
      </c>
    </row>
    <row r="6" spans="1:11" x14ac:dyDescent="0.25">
      <c r="A6" t="s">
        <v>32</v>
      </c>
      <c r="B6" t="s">
        <v>28</v>
      </c>
      <c r="C6">
        <v>105</v>
      </c>
      <c r="D6">
        <v>2045</v>
      </c>
      <c r="E6">
        <v>2045</v>
      </c>
      <c r="F6">
        <v>187</v>
      </c>
      <c r="G6">
        <v>338</v>
      </c>
      <c r="H6">
        <v>2</v>
      </c>
      <c r="I6">
        <v>1</v>
      </c>
      <c r="J6">
        <v>74</v>
      </c>
      <c r="K6">
        <v>1</v>
      </c>
    </row>
    <row r="7" spans="1:11" x14ac:dyDescent="0.25">
      <c r="A7" t="s">
        <v>33</v>
      </c>
      <c r="B7" t="s">
        <v>28</v>
      </c>
      <c r="C7">
        <v>109</v>
      </c>
      <c r="D7">
        <v>1278</v>
      </c>
      <c r="E7">
        <v>1278</v>
      </c>
      <c r="F7">
        <v>7</v>
      </c>
      <c r="G7">
        <v>1014</v>
      </c>
      <c r="H7">
        <v>422</v>
      </c>
      <c r="I7">
        <v>95</v>
      </c>
      <c r="J7">
        <v>5669</v>
      </c>
      <c r="K7">
        <v>95</v>
      </c>
    </row>
    <row r="8" spans="1:11" x14ac:dyDescent="0.25">
      <c r="A8" t="s">
        <v>34</v>
      </c>
      <c r="B8" t="s">
        <v>28</v>
      </c>
      <c r="C8">
        <v>11</v>
      </c>
      <c r="D8">
        <v>1023</v>
      </c>
      <c r="E8">
        <v>1017</v>
      </c>
      <c r="F8">
        <v>457</v>
      </c>
      <c r="G8">
        <v>2579</v>
      </c>
      <c r="H8">
        <v>3170</v>
      </c>
      <c r="I8">
        <v>2261</v>
      </c>
      <c r="J8">
        <v>2478</v>
      </c>
      <c r="K8">
        <v>2257</v>
      </c>
    </row>
    <row r="9" spans="1:11" x14ac:dyDescent="0.25">
      <c r="A9" t="s">
        <v>35</v>
      </c>
      <c r="B9" t="s">
        <v>28</v>
      </c>
      <c r="C9">
        <v>113</v>
      </c>
      <c r="D9">
        <v>2998</v>
      </c>
      <c r="E9">
        <v>2992</v>
      </c>
      <c r="F9">
        <v>60</v>
      </c>
      <c r="G9">
        <v>682</v>
      </c>
      <c r="H9">
        <v>1787</v>
      </c>
      <c r="I9">
        <v>25</v>
      </c>
      <c r="J9">
        <v>650</v>
      </c>
      <c r="K9">
        <v>25</v>
      </c>
    </row>
    <row r="10" spans="1:11" x14ac:dyDescent="0.25">
      <c r="A10" t="s">
        <v>36</v>
      </c>
      <c r="B10" t="s">
        <v>28</v>
      </c>
      <c r="C10">
        <v>123</v>
      </c>
      <c r="D10">
        <v>1921</v>
      </c>
      <c r="E10">
        <v>1915</v>
      </c>
      <c r="F10">
        <v>269</v>
      </c>
      <c r="G10">
        <v>586</v>
      </c>
      <c r="H10">
        <v>197</v>
      </c>
      <c r="I10">
        <v>117</v>
      </c>
      <c r="J10">
        <v>3896</v>
      </c>
      <c r="K10">
        <v>116</v>
      </c>
    </row>
    <row r="11" spans="1:11" x14ac:dyDescent="0.25">
      <c r="A11" t="s">
        <v>37</v>
      </c>
      <c r="B11" t="s">
        <v>28</v>
      </c>
      <c r="C11">
        <v>124</v>
      </c>
      <c r="D11">
        <v>2929</v>
      </c>
      <c r="E11">
        <v>2929</v>
      </c>
      <c r="F11">
        <v>64</v>
      </c>
      <c r="G11">
        <v>1241</v>
      </c>
      <c r="H11">
        <v>1981</v>
      </c>
      <c r="I11">
        <v>4</v>
      </c>
      <c r="J11">
        <v>180</v>
      </c>
      <c r="K11">
        <v>4</v>
      </c>
    </row>
    <row r="12" spans="1:11" x14ac:dyDescent="0.25">
      <c r="A12" t="s">
        <v>38</v>
      </c>
      <c r="B12" t="s">
        <v>28</v>
      </c>
      <c r="C12">
        <v>126</v>
      </c>
      <c r="D12">
        <v>3169</v>
      </c>
      <c r="E12">
        <v>3154</v>
      </c>
      <c r="F12">
        <v>910</v>
      </c>
      <c r="G12">
        <v>1738</v>
      </c>
      <c r="H12">
        <v>688</v>
      </c>
      <c r="I12">
        <v>4</v>
      </c>
      <c r="J12">
        <v>185</v>
      </c>
      <c r="K12">
        <v>4</v>
      </c>
    </row>
    <row r="13" spans="1:11" x14ac:dyDescent="0.25">
      <c r="A13" t="s">
        <v>39</v>
      </c>
      <c r="B13" t="s">
        <v>28</v>
      </c>
      <c r="C13">
        <v>128</v>
      </c>
      <c r="D13">
        <v>1557</v>
      </c>
      <c r="E13">
        <v>1557</v>
      </c>
      <c r="F13">
        <v>33</v>
      </c>
      <c r="G13">
        <v>413</v>
      </c>
      <c r="H13">
        <v>1528</v>
      </c>
      <c r="I13">
        <v>61</v>
      </c>
      <c r="J13">
        <v>3892</v>
      </c>
      <c r="K13">
        <v>61</v>
      </c>
    </row>
    <row r="14" spans="1:11" x14ac:dyDescent="0.25">
      <c r="A14" t="s">
        <v>40</v>
      </c>
      <c r="B14" t="s">
        <v>28</v>
      </c>
      <c r="C14">
        <v>131</v>
      </c>
      <c r="D14">
        <v>2710</v>
      </c>
      <c r="E14">
        <v>2704</v>
      </c>
      <c r="F14">
        <v>890</v>
      </c>
      <c r="G14">
        <v>1578</v>
      </c>
      <c r="H14">
        <v>998</v>
      </c>
      <c r="I14">
        <v>323</v>
      </c>
      <c r="J14">
        <v>2670</v>
      </c>
      <c r="K14">
        <v>312</v>
      </c>
    </row>
    <row r="15" spans="1:11" x14ac:dyDescent="0.25">
      <c r="A15" t="s">
        <v>41</v>
      </c>
      <c r="B15" t="s">
        <v>28</v>
      </c>
      <c r="C15">
        <v>133</v>
      </c>
      <c r="D15">
        <v>1200</v>
      </c>
      <c r="E15">
        <v>1200</v>
      </c>
      <c r="F15">
        <v>787</v>
      </c>
      <c r="G15">
        <v>1100</v>
      </c>
      <c r="H15">
        <v>363</v>
      </c>
      <c r="I15">
        <v>2269</v>
      </c>
      <c r="J15">
        <v>5095</v>
      </c>
      <c r="K15">
        <v>2242</v>
      </c>
    </row>
    <row r="16" spans="1:11" x14ac:dyDescent="0.25">
      <c r="A16" t="s">
        <v>42</v>
      </c>
      <c r="B16" t="s">
        <v>28</v>
      </c>
      <c r="C16">
        <v>2</v>
      </c>
      <c r="D16">
        <v>3873</v>
      </c>
      <c r="E16">
        <v>3872</v>
      </c>
      <c r="F16">
        <v>296</v>
      </c>
      <c r="G16">
        <v>1879</v>
      </c>
      <c r="H16">
        <v>3057</v>
      </c>
      <c r="I16">
        <v>16</v>
      </c>
      <c r="J16">
        <v>2729</v>
      </c>
      <c r="K16">
        <v>16</v>
      </c>
    </row>
    <row r="17" spans="1:11" x14ac:dyDescent="0.25">
      <c r="A17" t="s">
        <v>43</v>
      </c>
      <c r="B17" t="s">
        <v>28</v>
      </c>
      <c r="C17">
        <v>21</v>
      </c>
      <c r="D17">
        <v>3052</v>
      </c>
      <c r="E17">
        <v>3021</v>
      </c>
      <c r="F17">
        <v>15</v>
      </c>
      <c r="G17">
        <v>559</v>
      </c>
      <c r="H17">
        <v>16</v>
      </c>
      <c r="I17">
        <v>373</v>
      </c>
      <c r="J17">
        <v>3596</v>
      </c>
      <c r="K17">
        <v>286</v>
      </c>
    </row>
    <row r="18" spans="1:11" x14ac:dyDescent="0.25">
      <c r="A18" t="s">
        <v>44</v>
      </c>
      <c r="B18" t="s">
        <v>28</v>
      </c>
      <c r="C18">
        <v>22</v>
      </c>
      <c r="D18">
        <v>3051</v>
      </c>
      <c r="E18">
        <v>3018</v>
      </c>
      <c r="F18">
        <v>15</v>
      </c>
      <c r="G18">
        <v>561</v>
      </c>
      <c r="H18">
        <v>1115</v>
      </c>
      <c r="I18">
        <v>373</v>
      </c>
      <c r="J18">
        <v>3596</v>
      </c>
      <c r="K18">
        <v>286</v>
      </c>
    </row>
    <row r="19" spans="1:11" x14ac:dyDescent="0.25">
      <c r="A19" t="s">
        <v>45</v>
      </c>
      <c r="B19" t="s">
        <v>28</v>
      </c>
      <c r="C19">
        <v>25</v>
      </c>
      <c r="D19">
        <v>3696</v>
      </c>
      <c r="E19">
        <v>3688</v>
      </c>
      <c r="F19">
        <v>253</v>
      </c>
      <c r="G19">
        <v>314</v>
      </c>
      <c r="H19">
        <v>3341</v>
      </c>
      <c r="I19">
        <v>530</v>
      </c>
      <c r="J19">
        <v>2553</v>
      </c>
      <c r="K19">
        <v>530</v>
      </c>
    </row>
    <row r="20" spans="1:11" x14ac:dyDescent="0.25">
      <c r="A20" t="s">
        <v>46</v>
      </c>
      <c r="B20" t="s">
        <v>28</v>
      </c>
      <c r="C20">
        <v>30</v>
      </c>
      <c r="D20">
        <v>104</v>
      </c>
      <c r="E20">
        <v>104</v>
      </c>
      <c r="F20">
        <v>136</v>
      </c>
      <c r="G20">
        <v>116</v>
      </c>
      <c r="H20">
        <v>3064</v>
      </c>
      <c r="I20">
        <v>146</v>
      </c>
      <c r="J20">
        <v>96</v>
      </c>
      <c r="K20">
        <v>96</v>
      </c>
    </row>
    <row r="21" spans="1:11" x14ac:dyDescent="0.25">
      <c r="A21" t="s">
        <v>47</v>
      </c>
      <c r="B21" t="s">
        <v>28</v>
      </c>
      <c r="C21">
        <v>32</v>
      </c>
      <c r="D21">
        <v>2714</v>
      </c>
      <c r="E21">
        <v>2686</v>
      </c>
      <c r="F21">
        <v>19</v>
      </c>
      <c r="G21">
        <v>150</v>
      </c>
      <c r="H21">
        <v>621</v>
      </c>
      <c r="I21">
        <v>119</v>
      </c>
      <c r="J21">
        <v>2660</v>
      </c>
      <c r="K21">
        <v>105</v>
      </c>
    </row>
    <row r="22" spans="1:11" x14ac:dyDescent="0.25">
      <c r="A22" t="s">
        <v>48</v>
      </c>
      <c r="B22" t="s">
        <v>28</v>
      </c>
      <c r="C22">
        <v>34</v>
      </c>
      <c r="D22">
        <v>15</v>
      </c>
      <c r="E22">
        <v>15</v>
      </c>
      <c r="F22">
        <v>17</v>
      </c>
      <c r="G22">
        <v>17</v>
      </c>
      <c r="H22">
        <v>32</v>
      </c>
      <c r="I22">
        <v>1891</v>
      </c>
      <c r="J22">
        <v>3660</v>
      </c>
      <c r="K22">
        <v>1891</v>
      </c>
    </row>
    <row r="23" spans="1:11" x14ac:dyDescent="0.25">
      <c r="A23" t="s">
        <v>49</v>
      </c>
      <c r="B23" t="s">
        <v>28</v>
      </c>
      <c r="C23">
        <v>35</v>
      </c>
      <c r="D23">
        <v>4643</v>
      </c>
      <c r="E23">
        <v>4602</v>
      </c>
      <c r="F23">
        <v>54</v>
      </c>
      <c r="G23">
        <v>426</v>
      </c>
      <c r="H23">
        <v>1119</v>
      </c>
      <c r="I23">
        <v>1014</v>
      </c>
      <c r="J23">
        <v>2292</v>
      </c>
      <c r="K23">
        <v>995</v>
      </c>
    </row>
    <row r="24" spans="1:11" x14ac:dyDescent="0.25">
      <c r="A24" t="s">
        <v>50</v>
      </c>
      <c r="B24" t="s">
        <v>28</v>
      </c>
      <c r="C24">
        <v>38</v>
      </c>
      <c r="D24">
        <v>1369</v>
      </c>
      <c r="E24">
        <v>1369</v>
      </c>
      <c r="F24">
        <v>87</v>
      </c>
      <c r="G24">
        <v>858</v>
      </c>
      <c r="H24">
        <v>894</v>
      </c>
      <c r="I24">
        <v>1664</v>
      </c>
      <c r="J24">
        <v>3634</v>
      </c>
      <c r="K24">
        <v>1663</v>
      </c>
    </row>
    <row r="25" spans="1:11" x14ac:dyDescent="0.25">
      <c r="A25" t="s">
        <v>51</v>
      </c>
      <c r="B25" t="s">
        <v>28</v>
      </c>
      <c r="C25">
        <v>39</v>
      </c>
      <c r="D25">
        <v>757</v>
      </c>
      <c r="E25">
        <v>757</v>
      </c>
      <c r="F25">
        <v>407</v>
      </c>
      <c r="G25">
        <v>268</v>
      </c>
      <c r="H25">
        <v>79</v>
      </c>
      <c r="I25">
        <v>48</v>
      </c>
      <c r="J25">
        <v>6520</v>
      </c>
      <c r="K25">
        <v>48</v>
      </c>
    </row>
    <row r="26" spans="1:11" x14ac:dyDescent="0.25">
      <c r="A26" t="s">
        <v>52</v>
      </c>
      <c r="B26" t="s">
        <v>28</v>
      </c>
      <c r="C26">
        <v>4</v>
      </c>
      <c r="D26">
        <v>5064</v>
      </c>
      <c r="E26">
        <v>5063</v>
      </c>
      <c r="F26">
        <v>1481</v>
      </c>
      <c r="G26">
        <v>2191</v>
      </c>
      <c r="H26">
        <v>3275</v>
      </c>
      <c r="I26">
        <v>332</v>
      </c>
      <c r="J26">
        <v>2669</v>
      </c>
      <c r="K26">
        <v>182</v>
      </c>
    </row>
    <row r="27" spans="1:11" x14ac:dyDescent="0.25">
      <c r="A27" t="s">
        <v>53</v>
      </c>
      <c r="B27" t="s">
        <v>28</v>
      </c>
      <c r="C27">
        <v>45</v>
      </c>
      <c r="D27">
        <v>39</v>
      </c>
      <c r="E27">
        <v>39</v>
      </c>
      <c r="F27">
        <v>248</v>
      </c>
      <c r="G27">
        <v>241</v>
      </c>
      <c r="H27">
        <v>1488</v>
      </c>
      <c r="I27">
        <v>72</v>
      </c>
      <c r="J27">
        <v>156</v>
      </c>
      <c r="K27">
        <v>72</v>
      </c>
    </row>
    <row r="28" spans="1:11" x14ac:dyDescent="0.25">
      <c r="A28" t="s">
        <v>54</v>
      </c>
      <c r="B28" t="s">
        <v>28</v>
      </c>
      <c r="C28">
        <v>46</v>
      </c>
      <c r="D28">
        <v>1041</v>
      </c>
      <c r="E28">
        <v>1041</v>
      </c>
      <c r="F28">
        <v>335</v>
      </c>
      <c r="G28">
        <v>135</v>
      </c>
      <c r="H28">
        <v>802</v>
      </c>
      <c r="I28">
        <v>10</v>
      </c>
      <c r="J28">
        <v>2105</v>
      </c>
      <c r="K28">
        <v>9</v>
      </c>
    </row>
    <row r="29" spans="1:11" x14ac:dyDescent="0.25">
      <c r="A29" t="s">
        <v>55</v>
      </c>
      <c r="B29" t="s">
        <v>28</v>
      </c>
      <c r="C29">
        <v>49</v>
      </c>
      <c r="D29">
        <v>2437</v>
      </c>
      <c r="E29">
        <v>2443</v>
      </c>
      <c r="F29">
        <v>1942</v>
      </c>
      <c r="G29">
        <v>462</v>
      </c>
      <c r="H29">
        <v>2769</v>
      </c>
      <c r="I29">
        <v>1463</v>
      </c>
      <c r="J29">
        <v>1641</v>
      </c>
      <c r="K29">
        <v>1427</v>
      </c>
    </row>
    <row r="30" spans="1:11" x14ac:dyDescent="0.25">
      <c r="A30" t="s">
        <v>56</v>
      </c>
      <c r="B30" t="s">
        <v>28</v>
      </c>
      <c r="C30">
        <v>50</v>
      </c>
      <c r="D30">
        <v>2537</v>
      </c>
      <c r="E30">
        <v>2537</v>
      </c>
      <c r="F30">
        <v>1290</v>
      </c>
      <c r="G30">
        <v>806</v>
      </c>
      <c r="H30">
        <v>1554</v>
      </c>
      <c r="I30">
        <v>17</v>
      </c>
      <c r="J30">
        <v>88</v>
      </c>
      <c r="K30">
        <v>17</v>
      </c>
    </row>
    <row r="31" spans="1:11" x14ac:dyDescent="0.25">
      <c r="A31" t="s">
        <v>57</v>
      </c>
      <c r="B31" t="s">
        <v>28</v>
      </c>
      <c r="C31">
        <v>51</v>
      </c>
      <c r="D31">
        <v>1334</v>
      </c>
      <c r="E31">
        <v>1334</v>
      </c>
      <c r="F31">
        <v>41</v>
      </c>
      <c r="G31">
        <v>780</v>
      </c>
      <c r="H31">
        <v>595</v>
      </c>
      <c r="I31">
        <v>1586</v>
      </c>
      <c r="J31">
        <v>3465</v>
      </c>
      <c r="K31">
        <v>1586</v>
      </c>
    </row>
    <row r="32" spans="1:11" x14ac:dyDescent="0.25">
      <c r="A32" t="s">
        <v>58</v>
      </c>
      <c r="B32" t="s">
        <v>28</v>
      </c>
      <c r="C32">
        <v>52</v>
      </c>
      <c r="D32">
        <v>1446</v>
      </c>
      <c r="E32">
        <v>1446</v>
      </c>
      <c r="F32">
        <v>57</v>
      </c>
      <c r="G32">
        <v>1184</v>
      </c>
      <c r="H32">
        <v>920</v>
      </c>
      <c r="I32">
        <v>25</v>
      </c>
      <c r="J32">
        <v>3459</v>
      </c>
      <c r="K32">
        <v>25</v>
      </c>
    </row>
    <row r="33" spans="1:11" x14ac:dyDescent="0.25">
      <c r="A33" t="s">
        <v>59</v>
      </c>
      <c r="B33" t="s">
        <v>28</v>
      </c>
      <c r="C33">
        <v>54</v>
      </c>
      <c r="D33">
        <v>459</v>
      </c>
      <c r="E33">
        <v>459</v>
      </c>
      <c r="F33">
        <v>1185</v>
      </c>
      <c r="G33">
        <v>547</v>
      </c>
      <c r="H33">
        <v>2525</v>
      </c>
      <c r="I33">
        <v>6346</v>
      </c>
      <c r="J33">
        <v>2401</v>
      </c>
      <c r="K33">
        <v>2401</v>
      </c>
    </row>
    <row r="34" spans="1:11" x14ac:dyDescent="0.25">
      <c r="A34" t="s">
        <v>60</v>
      </c>
      <c r="B34" t="s">
        <v>28</v>
      </c>
      <c r="C34">
        <v>55</v>
      </c>
      <c r="D34">
        <v>2674</v>
      </c>
      <c r="E34">
        <v>2674</v>
      </c>
      <c r="F34">
        <v>814</v>
      </c>
      <c r="G34">
        <v>1916</v>
      </c>
      <c r="H34">
        <v>1033</v>
      </c>
      <c r="I34">
        <v>21</v>
      </c>
      <c r="J34">
        <v>87</v>
      </c>
      <c r="K34">
        <v>21</v>
      </c>
    </row>
    <row r="35" spans="1:11" x14ac:dyDescent="0.25">
      <c r="A35" t="s">
        <v>61</v>
      </c>
      <c r="B35" t="s">
        <v>28</v>
      </c>
      <c r="C35">
        <v>56</v>
      </c>
      <c r="D35">
        <v>1112</v>
      </c>
      <c r="E35">
        <v>1090</v>
      </c>
      <c r="F35">
        <v>123</v>
      </c>
      <c r="G35">
        <v>43</v>
      </c>
      <c r="H35">
        <v>187</v>
      </c>
      <c r="I35">
        <v>48</v>
      </c>
      <c r="J35">
        <v>5231</v>
      </c>
      <c r="K35">
        <v>46</v>
      </c>
    </row>
    <row r="36" spans="1:11" x14ac:dyDescent="0.25">
      <c r="A36" t="s">
        <v>62</v>
      </c>
      <c r="B36" t="s">
        <v>28</v>
      </c>
      <c r="C36">
        <v>57</v>
      </c>
      <c r="D36">
        <v>1274</v>
      </c>
      <c r="E36">
        <v>1274</v>
      </c>
      <c r="F36">
        <v>39</v>
      </c>
      <c r="G36">
        <v>703</v>
      </c>
      <c r="H36">
        <v>54</v>
      </c>
      <c r="I36">
        <v>11</v>
      </c>
      <c r="J36">
        <v>5902</v>
      </c>
      <c r="K36">
        <v>11</v>
      </c>
    </row>
    <row r="37" spans="1:11" x14ac:dyDescent="0.25">
      <c r="A37" t="s">
        <v>63</v>
      </c>
      <c r="B37" t="s">
        <v>28</v>
      </c>
      <c r="C37">
        <v>58</v>
      </c>
      <c r="D37">
        <v>2486</v>
      </c>
      <c r="E37">
        <v>2486</v>
      </c>
      <c r="F37">
        <v>1133</v>
      </c>
      <c r="G37">
        <v>1719</v>
      </c>
      <c r="H37">
        <v>353</v>
      </c>
      <c r="I37">
        <v>2</v>
      </c>
      <c r="J37">
        <v>165</v>
      </c>
      <c r="K37">
        <v>2</v>
      </c>
    </row>
    <row r="38" spans="1:11" x14ac:dyDescent="0.25">
      <c r="A38" t="s">
        <v>64</v>
      </c>
      <c r="B38" t="s">
        <v>28</v>
      </c>
      <c r="C38">
        <v>6</v>
      </c>
      <c r="D38">
        <v>5019</v>
      </c>
      <c r="E38">
        <v>4998</v>
      </c>
      <c r="F38">
        <v>243</v>
      </c>
      <c r="G38">
        <v>1066</v>
      </c>
      <c r="H38">
        <v>2386</v>
      </c>
      <c r="I38">
        <v>447</v>
      </c>
      <c r="J38">
        <v>2521</v>
      </c>
      <c r="K38">
        <v>447</v>
      </c>
    </row>
    <row r="39" spans="1:11" x14ac:dyDescent="0.25">
      <c r="A39" t="s">
        <v>65</v>
      </c>
      <c r="B39" t="s">
        <v>28</v>
      </c>
      <c r="C39">
        <v>68</v>
      </c>
      <c r="D39">
        <v>1064</v>
      </c>
      <c r="E39">
        <v>1064</v>
      </c>
      <c r="F39">
        <v>28</v>
      </c>
      <c r="G39">
        <v>613</v>
      </c>
      <c r="H39">
        <v>684</v>
      </c>
      <c r="I39">
        <v>1</v>
      </c>
      <c r="J39">
        <v>3215</v>
      </c>
      <c r="K39">
        <v>1</v>
      </c>
    </row>
    <row r="40" spans="1:11" x14ac:dyDescent="0.25">
      <c r="A40" t="s">
        <v>66</v>
      </c>
      <c r="B40" t="s">
        <v>28</v>
      </c>
      <c r="C40">
        <v>71</v>
      </c>
      <c r="D40">
        <v>4504</v>
      </c>
      <c r="E40">
        <v>4423</v>
      </c>
      <c r="F40">
        <v>455</v>
      </c>
      <c r="G40">
        <v>2658</v>
      </c>
      <c r="H40">
        <v>2392</v>
      </c>
      <c r="I40">
        <v>69</v>
      </c>
      <c r="J40">
        <v>2354</v>
      </c>
      <c r="K40">
        <v>69</v>
      </c>
    </row>
    <row r="41" spans="1:11" x14ac:dyDescent="0.25">
      <c r="A41" t="s">
        <v>67</v>
      </c>
      <c r="B41" t="s">
        <v>28</v>
      </c>
      <c r="C41">
        <v>72</v>
      </c>
      <c r="D41">
        <v>1694</v>
      </c>
      <c r="E41">
        <v>1822</v>
      </c>
      <c r="F41">
        <v>483</v>
      </c>
      <c r="G41">
        <v>1937</v>
      </c>
      <c r="H41">
        <v>1697</v>
      </c>
      <c r="I41">
        <v>141</v>
      </c>
      <c r="J41">
        <v>325</v>
      </c>
      <c r="K41">
        <v>141</v>
      </c>
    </row>
    <row r="42" spans="1:11" x14ac:dyDescent="0.25">
      <c r="A42" t="s">
        <v>68</v>
      </c>
      <c r="B42" t="s">
        <v>28</v>
      </c>
      <c r="C42">
        <v>73</v>
      </c>
      <c r="D42">
        <v>1304</v>
      </c>
      <c r="E42">
        <v>1304</v>
      </c>
      <c r="F42">
        <v>195</v>
      </c>
      <c r="G42">
        <v>656</v>
      </c>
      <c r="H42">
        <v>784</v>
      </c>
      <c r="I42">
        <v>456</v>
      </c>
      <c r="J42">
        <v>3251</v>
      </c>
      <c r="K42">
        <v>454</v>
      </c>
    </row>
    <row r="43" spans="1:11" x14ac:dyDescent="0.25">
      <c r="A43" t="s">
        <v>69</v>
      </c>
      <c r="B43" t="s">
        <v>28</v>
      </c>
      <c r="C43">
        <v>74</v>
      </c>
      <c r="D43">
        <v>2435</v>
      </c>
      <c r="E43">
        <v>2435</v>
      </c>
      <c r="F43">
        <v>274</v>
      </c>
      <c r="G43">
        <v>305</v>
      </c>
      <c r="H43">
        <v>625</v>
      </c>
      <c r="I43">
        <v>12</v>
      </c>
      <c r="J43">
        <v>156</v>
      </c>
      <c r="K43">
        <v>12</v>
      </c>
    </row>
    <row r="44" spans="1:11" x14ac:dyDescent="0.25">
      <c r="A44" t="s">
        <v>70</v>
      </c>
      <c r="B44" t="s">
        <v>28</v>
      </c>
      <c r="C44">
        <v>76</v>
      </c>
      <c r="D44">
        <v>2976</v>
      </c>
      <c r="E44">
        <v>2973</v>
      </c>
      <c r="F44">
        <v>155</v>
      </c>
      <c r="G44">
        <v>328</v>
      </c>
      <c r="H44">
        <v>2105</v>
      </c>
      <c r="I44">
        <v>13</v>
      </c>
      <c r="J44">
        <v>61</v>
      </c>
      <c r="K44">
        <v>13</v>
      </c>
    </row>
    <row r="45" spans="1:11" x14ac:dyDescent="0.25">
      <c r="A45" t="s">
        <v>71</v>
      </c>
      <c r="B45" t="s">
        <v>28</v>
      </c>
      <c r="C45">
        <v>79</v>
      </c>
      <c r="D45">
        <v>2206</v>
      </c>
      <c r="E45">
        <v>2186</v>
      </c>
      <c r="F45">
        <v>623</v>
      </c>
      <c r="G45">
        <v>819</v>
      </c>
      <c r="H45">
        <v>149</v>
      </c>
      <c r="I45">
        <v>32</v>
      </c>
      <c r="J45">
        <v>5110</v>
      </c>
      <c r="K45">
        <v>32</v>
      </c>
    </row>
    <row r="46" spans="1:11" x14ac:dyDescent="0.25">
      <c r="A46" t="s">
        <v>72</v>
      </c>
      <c r="B46" t="s">
        <v>28</v>
      </c>
      <c r="C46">
        <v>80</v>
      </c>
      <c r="D46">
        <v>1225</v>
      </c>
      <c r="E46">
        <v>1225</v>
      </c>
      <c r="F46">
        <v>255</v>
      </c>
      <c r="G46">
        <v>627</v>
      </c>
      <c r="H46">
        <v>416</v>
      </c>
      <c r="I46">
        <v>6</v>
      </c>
      <c r="J46">
        <v>5590</v>
      </c>
      <c r="K46">
        <v>6</v>
      </c>
    </row>
    <row r="47" spans="1:11" x14ac:dyDescent="0.25">
      <c r="A47" t="s">
        <v>73</v>
      </c>
      <c r="B47" t="s">
        <v>28</v>
      </c>
      <c r="C47">
        <v>82</v>
      </c>
      <c r="D47">
        <v>148</v>
      </c>
      <c r="E47">
        <v>148</v>
      </c>
      <c r="F47">
        <v>186</v>
      </c>
      <c r="G47">
        <v>1251</v>
      </c>
      <c r="H47">
        <v>3322</v>
      </c>
      <c r="I47">
        <v>5774</v>
      </c>
      <c r="J47">
        <v>4164</v>
      </c>
      <c r="K47">
        <v>3582</v>
      </c>
    </row>
    <row r="48" spans="1:11" x14ac:dyDescent="0.25">
      <c r="A48" t="s">
        <v>74</v>
      </c>
      <c r="B48" t="s">
        <v>28</v>
      </c>
      <c r="C48">
        <v>85</v>
      </c>
      <c r="D48">
        <v>2354</v>
      </c>
      <c r="E48">
        <v>2354</v>
      </c>
      <c r="F48">
        <v>1409</v>
      </c>
      <c r="G48">
        <v>48</v>
      </c>
      <c r="H48">
        <v>1445</v>
      </c>
      <c r="I48">
        <v>52</v>
      </c>
      <c r="J48">
        <v>68</v>
      </c>
      <c r="K48">
        <v>52</v>
      </c>
    </row>
    <row r="49" spans="1:14" x14ac:dyDescent="0.25">
      <c r="A49" t="s">
        <v>75</v>
      </c>
      <c r="B49" t="s">
        <v>28</v>
      </c>
      <c r="C49">
        <v>86</v>
      </c>
      <c r="D49">
        <v>5746</v>
      </c>
      <c r="E49">
        <v>5566</v>
      </c>
      <c r="F49">
        <v>309</v>
      </c>
      <c r="G49">
        <v>2295</v>
      </c>
      <c r="H49">
        <v>204</v>
      </c>
      <c r="I49">
        <v>11</v>
      </c>
      <c r="J49">
        <v>2128</v>
      </c>
      <c r="K49">
        <v>11</v>
      </c>
    </row>
    <row r="50" spans="1:14" x14ac:dyDescent="0.25">
      <c r="A50" t="s">
        <v>76</v>
      </c>
      <c r="B50" t="s">
        <v>28</v>
      </c>
      <c r="C50">
        <v>87</v>
      </c>
      <c r="D50">
        <v>2327</v>
      </c>
      <c r="E50">
        <v>2327</v>
      </c>
      <c r="F50">
        <v>434</v>
      </c>
      <c r="G50">
        <v>291</v>
      </c>
      <c r="H50">
        <v>1433</v>
      </c>
      <c r="I50">
        <v>29</v>
      </c>
      <c r="J50">
        <v>107</v>
      </c>
      <c r="K50">
        <v>29</v>
      </c>
    </row>
    <row r="51" spans="1:14" x14ac:dyDescent="0.25">
      <c r="A51" t="s">
        <v>77</v>
      </c>
      <c r="B51" t="s">
        <v>28</v>
      </c>
      <c r="C51">
        <v>90</v>
      </c>
      <c r="D51">
        <v>394</v>
      </c>
      <c r="E51">
        <v>413</v>
      </c>
      <c r="F51">
        <v>960</v>
      </c>
      <c r="G51">
        <v>1499</v>
      </c>
      <c r="H51">
        <v>79</v>
      </c>
      <c r="I51">
        <v>2369</v>
      </c>
      <c r="J51">
        <v>2096</v>
      </c>
      <c r="K51">
        <v>2096</v>
      </c>
    </row>
    <row r="52" spans="1:14" x14ac:dyDescent="0.25">
      <c r="A52" t="s">
        <v>78</v>
      </c>
      <c r="B52" t="s">
        <v>28</v>
      </c>
      <c r="C52">
        <v>94</v>
      </c>
      <c r="D52">
        <v>2557</v>
      </c>
      <c r="E52">
        <v>2550</v>
      </c>
      <c r="F52">
        <v>52</v>
      </c>
      <c r="G52">
        <v>1373</v>
      </c>
      <c r="H52">
        <v>876</v>
      </c>
      <c r="I52">
        <v>2</v>
      </c>
      <c r="J52">
        <v>2479</v>
      </c>
      <c r="K52">
        <v>2</v>
      </c>
    </row>
    <row r="53" spans="1:14" x14ac:dyDescent="0.25">
      <c r="A53" t="s">
        <v>79</v>
      </c>
      <c r="B53" t="s">
        <v>28</v>
      </c>
      <c r="C53">
        <v>96</v>
      </c>
      <c r="D53">
        <v>3866</v>
      </c>
      <c r="E53">
        <v>2235</v>
      </c>
      <c r="F53">
        <v>347</v>
      </c>
      <c r="G53">
        <v>251</v>
      </c>
      <c r="H53">
        <v>96</v>
      </c>
      <c r="I53">
        <v>390</v>
      </c>
      <c r="J53">
        <v>2025</v>
      </c>
      <c r="K53">
        <v>387</v>
      </c>
    </row>
    <row r="54" spans="1:14" x14ac:dyDescent="0.25">
      <c r="A54" t="s">
        <v>80</v>
      </c>
      <c r="B54" t="s">
        <v>28</v>
      </c>
      <c r="C54">
        <v>99</v>
      </c>
      <c r="D54">
        <v>83</v>
      </c>
      <c r="E54">
        <v>80</v>
      </c>
      <c r="F54">
        <v>8</v>
      </c>
      <c r="G54">
        <v>111</v>
      </c>
      <c r="H54">
        <v>1641</v>
      </c>
      <c r="I54">
        <v>22</v>
      </c>
      <c r="J54">
        <v>28</v>
      </c>
      <c r="K54">
        <v>17</v>
      </c>
    </row>
    <row r="56" spans="1:14" x14ac:dyDescent="0.25">
      <c r="I56" t="s">
        <v>216</v>
      </c>
      <c r="J56" t="s">
        <v>217</v>
      </c>
      <c r="K56" t="s">
        <v>218</v>
      </c>
      <c r="L56" t="s">
        <v>219</v>
      </c>
      <c r="M56" t="s">
        <v>220</v>
      </c>
      <c r="N56" t="s">
        <v>221</v>
      </c>
    </row>
    <row r="57" spans="1:14" x14ac:dyDescent="0.25">
      <c r="I57">
        <f>SUM(I2:I54)</f>
        <v>32470</v>
      </c>
      <c r="J57">
        <f t="shared" ref="J57:K57" si="0">SUM(J2:J54)</f>
        <v>124790</v>
      </c>
      <c r="K57">
        <f t="shared" si="0"/>
        <v>24488</v>
      </c>
      <c r="L57">
        <f>K57/J57</f>
        <v>0.19623367256991747</v>
      </c>
      <c r="M57">
        <f>K57/I57</f>
        <v>0.75417308284570372</v>
      </c>
      <c r="N57">
        <f>2*L57*M57/(L57+M57)</f>
        <v>0.31143329517995677</v>
      </c>
    </row>
    <row r="58" spans="1:14" x14ac:dyDescent="0.25">
      <c r="A58" t="s">
        <v>215</v>
      </c>
      <c r="D58">
        <f>AVERAGE(D2:D54)</f>
        <v>2134.3207547169814</v>
      </c>
      <c r="E58">
        <f t="shared" ref="E58:H58" si="1">AVERAGE(E2:E54)</f>
        <v>2097.7358490566039</v>
      </c>
      <c r="F58">
        <f t="shared" si="1"/>
        <v>447.41509433962267</v>
      </c>
      <c r="G58">
        <f t="shared" si="1"/>
        <v>899.98113207547169</v>
      </c>
      <c r="H58">
        <f t="shared" si="1"/>
        <v>1196.433962264151</v>
      </c>
    </row>
    <row r="60" spans="1:14" x14ac:dyDescent="0.25">
      <c r="A60" t="s">
        <v>222</v>
      </c>
      <c r="D60">
        <f>COUNTIF(D2:D54,"&lt;=1")</f>
        <v>0</v>
      </c>
      <c r="E60">
        <f t="shared" ref="E60:H60" si="2">COUNTIF(E2:E54,"&lt;=1")</f>
        <v>0</v>
      </c>
      <c r="F60">
        <f t="shared" si="2"/>
        <v>0</v>
      </c>
      <c r="G60">
        <f t="shared" si="2"/>
        <v>0</v>
      </c>
      <c r="H60">
        <f t="shared" si="2"/>
        <v>0</v>
      </c>
    </row>
    <row r="61" spans="1:14" x14ac:dyDescent="0.25">
      <c r="A61" t="s">
        <v>223</v>
      </c>
      <c r="D61">
        <f>COUNTIF(D2:D54,"&lt;=5")</f>
        <v>0</v>
      </c>
      <c r="E61">
        <f t="shared" ref="E61:H61" si="3">COUNTIF(E2:E54,"&lt;=5")</f>
        <v>0</v>
      </c>
      <c r="F61">
        <f t="shared" si="3"/>
        <v>0</v>
      </c>
      <c r="G61">
        <f t="shared" si="3"/>
        <v>0</v>
      </c>
      <c r="H61">
        <f t="shared" si="3"/>
        <v>2</v>
      </c>
    </row>
    <row r="62" spans="1:14" x14ac:dyDescent="0.25">
      <c r="A62" t="s">
        <v>224</v>
      </c>
      <c r="D62">
        <f>COUNTIF(D2:D54,"&lt;=10")</f>
        <v>0</v>
      </c>
      <c r="E62">
        <f t="shared" ref="E62:H62" si="4">COUNTIF(E2:E54,"&lt;=10")</f>
        <v>0</v>
      </c>
      <c r="F62">
        <f t="shared" si="4"/>
        <v>2</v>
      </c>
      <c r="G62">
        <f t="shared" si="4"/>
        <v>0</v>
      </c>
      <c r="H62">
        <f t="shared" si="4"/>
        <v>2</v>
      </c>
    </row>
    <row r="65" customFormat="1" x14ac:dyDescent="0.25"/>
    <row r="66" customFormat="1" x14ac:dyDescent="0.25"/>
    <row r="67" customFormat="1" x14ac:dyDescent="0.25"/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A5E90-E3A5-48BA-80A0-E3DE5A9DF38C}">
  <dimension ref="A1:N35"/>
  <sheetViews>
    <sheetView topLeftCell="A16" workbookViewId="0">
      <selection activeCell="A29" sqref="A29:XFD35"/>
    </sheetView>
  </sheetViews>
  <sheetFormatPr defaultRowHeight="13.8" x14ac:dyDescent="0.25"/>
  <cols>
    <col min="4" max="4" width="9.66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81</v>
      </c>
      <c r="B2" t="s">
        <v>82</v>
      </c>
      <c r="C2">
        <v>10</v>
      </c>
      <c r="D2">
        <v>132</v>
      </c>
      <c r="E2">
        <v>132</v>
      </c>
      <c r="F2">
        <v>155</v>
      </c>
      <c r="G2">
        <v>84</v>
      </c>
      <c r="H2">
        <v>32</v>
      </c>
      <c r="I2">
        <v>107</v>
      </c>
      <c r="J2">
        <v>84</v>
      </c>
      <c r="K2">
        <v>83</v>
      </c>
    </row>
    <row r="3" spans="1:11" x14ac:dyDescent="0.25">
      <c r="A3" t="s">
        <v>83</v>
      </c>
      <c r="B3" t="s">
        <v>82</v>
      </c>
      <c r="C3">
        <v>15</v>
      </c>
      <c r="D3">
        <v>194</v>
      </c>
      <c r="E3">
        <v>194</v>
      </c>
      <c r="F3">
        <v>261</v>
      </c>
      <c r="G3">
        <v>119</v>
      </c>
      <c r="H3">
        <v>52</v>
      </c>
      <c r="I3">
        <v>3</v>
      </c>
      <c r="J3">
        <v>4</v>
      </c>
      <c r="K3">
        <v>3</v>
      </c>
    </row>
    <row r="4" spans="1:11" x14ac:dyDescent="0.25">
      <c r="A4" t="s">
        <v>84</v>
      </c>
      <c r="B4" t="s">
        <v>82</v>
      </c>
      <c r="C4">
        <v>17</v>
      </c>
      <c r="D4">
        <v>118</v>
      </c>
      <c r="E4">
        <v>118</v>
      </c>
      <c r="F4">
        <v>118</v>
      </c>
      <c r="G4">
        <v>79</v>
      </c>
      <c r="H4">
        <v>74</v>
      </c>
      <c r="I4">
        <v>33</v>
      </c>
      <c r="J4">
        <v>20</v>
      </c>
      <c r="K4">
        <v>19</v>
      </c>
    </row>
    <row r="5" spans="1:11" x14ac:dyDescent="0.25">
      <c r="A5" t="s">
        <v>85</v>
      </c>
      <c r="B5" t="s">
        <v>82</v>
      </c>
      <c r="C5">
        <v>18</v>
      </c>
      <c r="D5">
        <v>54</v>
      </c>
      <c r="E5">
        <v>54</v>
      </c>
      <c r="F5">
        <v>112</v>
      </c>
      <c r="G5">
        <v>65</v>
      </c>
      <c r="H5">
        <v>238</v>
      </c>
      <c r="I5">
        <v>46</v>
      </c>
      <c r="J5">
        <v>33</v>
      </c>
      <c r="K5">
        <v>33</v>
      </c>
    </row>
    <row r="6" spans="1:11" x14ac:dyDescent="0.25">
      <c r="A6" t="s">
        <v>86</v>
      </c>
      <c r="B6" t="s">
        <v>82</v>
      </c>
      <c r="C6">
        <v>22</v>
      </c>
      <c r="D6">
        <v>14</v>
      </c>
      <c r="E6">
        <v>14</v>
      </c>
      <c r="F6">
        <v>29</v>
      </c>
      <c r="G6">
        <v>8</v>
      </c>
      <c r="H6">
        <v>21</v>
      </c>
      <c r="I6">
        <v>8</v>
      </c>
      <c r="J6">
        <v>7</v>
      </c>
      <c r="K6">
        <v>7</v>
      </c>
    </row>
    <row r="7" spans="1:11" x14ac:dyDescent="0.25">
      <c r="A7" t="s">
        <v>87</v>
      </c>
      <c r="B7" t="s">
        <v>82</v>
      </c>
      <c r="C7">
        <v>24</v>
      </c>
      <c r="D7">
        <v>140</v>
      </c>
      <c r="E7">
        <v>140</v>
      </c>
      <c r="F7">
        <v>117</v>
      </c>
      <c r="G7">
        <v>133</v>
      </c>
      <c r="H7">
        <v>40</v>
      </c>
      <c r="I7">
        <v>0</v>
      </c>
      <c r="J7">
        <v>2</v>
      </c>
      <c r="K7">
        <v>0</v>
      </c>
    </row>
    <row r="8" spans="1:11" x14ac:dyDescent="0.25">
      <c r="A8" t="s">
        <v>88</v>
      </c>
      <c r="B8" t="s">
        <v>82</v>
      </c>
      <c r="C8">
        <v>26</v>
      </c>
      <c r="D8">
        <v>23</v>
      </c>
      <c r="E8">
        <v>23</v>
      </c>
      <c r="F8">
        <v>15</v>
      </c>
      <c r="G8">
        <v>12</v>
      </c>
      <c r="H8">
        <v>25</v>
      </c>
      <c r="I8">
        <v>30</v>
      </c>
      <c r="J8">
        <v>35</v>
      </c>
      <c r="K8">
        <v>30</v>
      </c>
    </row>
    <row r="9" spans="1:11" x14ac:dyDescent="0.25">
      <c r="A9" t="s">
        <v>89</v>
      </c>
      <c r="B9" t="s">
        <v>82</v>
      </c>
      <c r="C9">
        <v>3</v>
      </c>
      <c r="D9">
        <v>34</v>
      </c>
      <c r="E9">
        <v>34</v>
      </c>
      <c r="F9">
        <v>25</v>
      </c>
      <c r="G9">
        <v>12</v>
      </c>
      <c r="H9">
        <v>20</v>
      </c>
      <c r="I9">
        <v>4</v>
      </c>
      <c r="J9">
        <v>8</v>
      </c>
      <c r="K9">
        <v>4</v>
      </c>
    </row>
    <row r="10" spans="1:11" x14ac:dyDescent="0.25">
      <c r="A10" t="s">
        <v>90</v>
      </c>
      <c r="B10" t="s">
        <v>82</v>
      </c>
      <c r="C10">
        <v>30</v>
      </c>
      <c r="D10">
        <v>23</v>
      </c>
      <c r="E10">
        <v>23</v>
      </c>
      <c r="F10">
        <v>24</v>
      </c>
      <c r="G10">
        <v>1</v>
      </c>
      <c r="H10">
        <v>5</v>
      </c>
      <c r="I10">
        <v>19</v>
      </c>
      <c r="J10">
        <v>229</v>
      </c>
      <c r="K10">
        <v>16</v>
      </c>
    </row>
    <row r="11" spans="1:11" x14ac:dyDescent="0.25">
      <c r="A11" t="s">
        <v>91</v>
      </c>
      <c r="B11" t="s">
        <v>82</v>
      </c>
      <c r="C11">
        <v>32</v>
      </c>
      <c r="D11">
        <v>3</v>
      </c>
      <c r="E11">
        <v>3</v>
      </c>
      <c r="F11">
        <v>3</v>
      </c>
      <c r="G11">
        <v>17</v>
      </c>
      <c r="H11">
        <v>26</v>
      </c>
      <c r="I11">
        <v>44</v>
      </c>
      <c r="J11">
        <v>7</v>
      </c>
      <c r="K11">
        <v>7</v>
      </c>
    </row>
    <row r="12" spans="1:11" x14ac:dyDescent="0.25">
      <c r="A12" t="s">
        <v>92</v>
      </c>
      <c r="B12" t="s">
        <v>82</v>
      </c>
      <c r="C12">
        <v>33</v>
      </c>
      <c r="D12">
        <v>58</v>
      </c>
      <c r="E12">
        <v>58</v>
      </c>
      <c r="F12">
        <v>39</v>
      </c>
      <c r="G12">
        <v>38</v>
      </c>
      <c r="H12">
        <v>45</v>
      </c>
      <c r="I12">
        <v>0</v>
      </c>
      <c r="J12">
        <v>82</v>
      </c>
      <c r="K12">
        <v>0</v>
      </c>
    </row>
    <row r="13" spans="1:11" x14ac:dyDescent="0.25">
      <c r="A13" t="s">
        <v>93</v>
      </c>
      <c r="B13" t="s">
        <v>82</v>
      </c>
      <c r="C13">
        <v>34</v>
      </c>
      <c r="D13">
        <v>229</v>
      </c>
      <c r="E13">
        <v>229</v>
      </c>
      <c r="F13">
        <v>7</v>
      </c>
      <c r="G13">
        <v>95</v>
      </c>
      <c r="H13">
        <v>189</v>
      </c>
      <c r="I13">
        <v>84</v>
      </c>
      <c r="J13">
        <v>105</v>
      </c>
      <c r="K13">
        <v>84</v>
      </c>
    </row>
    <row r="14" spans="1:11" x14ac:dyDescent="0.25">
      <c r="A14" t="s">
        <v>94</v>
      </c>
      <c r="B14" t="s">
        <v>82</v>
      </c>
      <c r="C14">
        <v>38</v>
      </c>
      <c r="D14">
        <v>159</v>
      </c>
      <c r="E14">
        <v>159</v>
      </c>
      <c r="F14">
        <v>13</v>
      </c>
      <c r="G14">
        <v>56</v>
      </c>
      <c r="H14">
        <v>51</v>
      </c>
      <c r="I14">
        <v>0</v>
      </c>
      <c r="J14">
        <v>35</v>
      </c>
      <c r="K14">
        <v>0</v>
      </c>
    </row>
    <row r="15" spans="1:11" x14ac:dyDescent="0.25">
      <c r="A15" t="s">
        <v>95</v>
      </c>
      <c r="B15" t="s">
        <v>82</v>
      </c>
      <c r="C15">
        <v>39</v>
      </c>
      <c r="D15">
        <v>17</v>
      </c>
      <c r="E15">
        <v>17</v>
      </c>
      <c r="F15">
        <v>19</v>
      </c>
      <c r="G15">
        <v>20</v>
      </c>
      <c r="H15">
        <v>25</v>
      </c>
      <c r="I15">
        <v>1</v>
      </c>
      <c r="J15">
        <v>1</v>
      </c>
      <c r="K15">
        <v>1</v>
      </c>
    </row>
    <row r="16" spans="1:11" x14ac:dyDescent="0.25">
      <c r="A16" t="s">
        <v>96</v>
      </c>
      <c r="B16" t="s">
        <v>82</v>
      </c>
      <c r="C16">
        <v>41</v>
      </c>
      <c r="D16">
        <v>33</v>
      </c>
      <c r="E16">
        <v>33</v>
      </c>
      <c r="F16">
        <v>5</v>
      </c>
      <c r="G16">
        <v>12</v>
      </c>
      <c r="H16">
        <v>7</v>
      </c>
      <c r="I16">
        <v>34</v>
      </c>
      <c r="J16">
        <v>47</v>
      </c>
      <c r="K16">
        <v>5</v>
      </c>
    </row>
    <row r="17" spans="1:14" x14ac:dyDescent="0.25">
      <c r="A17" t="s">
        <v>97</v>
      </c>
      <c r="B17" t="s">
        <v>82</v>
      </c>
      <c r="C17">
        <v>42</v>
      </c>
      <c r="D17">
        <v>122</v>
      </c>
      <c r="E17">
        <v>120</v>
      </c>
      <c r="F17">
        <v>51</v>
      </c>
      <c r="G17">
        <v>86</v>
      </c>
      <c r="H17">
        <v>60</v>
      </c>
      <c r="I17">
        <v>5</v>
      </c>
      <c r="J17">
        <v>43</v>
      </c>
      <c r="K17">
        <v>5</v>
      </c>
    </row>
    <row r="18" spans="1:14" x14ac:dyDescent="0.25">
      <c r="A18" t="s">
        <v>98</v>
      </c>
      <c r="B18" t="s">
        <v>82</v>
      </c>
      <c r="C18">
        <v>47</v>
      </c>
      <c r="D18">
        <v>35</v>
      </c>
      <c r="E18">
        <v>35</v>
      </c>
      <c r="F18">
        <v>35</v>
      </c>
      <c r="G18">
        <v>27</v>
      </c>
      <c r="H18">
        <v>18</v>
      </c>
      <c r="I18">
        <v>5</v>
      </c>
      <c r="J18">
        <v>161</v>
      </c>
      <c r="K18">
        <v>0</v>
      </c>
    </row>
    <row r="19" spans="1:14" x14ac:dyDescent="0.25">
      <c r="A19" t="s">
        <v>99</v>
      </c>
      <c r="B19" t="s">
        <v>82</v>
      </c>
      <c r="C19">
        <v>49</v>
      </c>
      <c r="D19">
        <v>43</v>
      </c>
      <c r="E19">
        <v>43</v>
      </c>
      <c r="F19">
        <v>1</v>
      </c>
      <c r="G19">
        <v>16</v>
      </c>
      <c r="H19">
        <v>16</v>
      </c>
      <c r="I19">
        <v>0</v>
      </c>
      <c r="J19">
        <v>8</v>
      </c>
      <c r="K19">
        <v>0</v>
      </c>
    </row>
    <row r="20" spans="1:14" x14ac:dyDescent="0.25">
      <c r="A20" t="s">
        <v>100</v>
      </c>
      <c r="B20" t="s">
        <v>82</v>
      </c>
      <c r="C20">
        <v>50</v>
      </c>
      <c r="D20">
        <v>147</v>
      </c>
      <c r="E20">
        <v>147</v>
      </c>
      <c r="F20">
        <v>2</v>
      </c>
      <c r="G20">
        <v>29</v>
      </c>
      <c r="H20">
        <v>35</v>
      </c>
      <c r="I20">
        <v>1</v>
      </c>
      <c r="J20">
        <v>9</v>
      </c>
      <c r="K20">
        <v>0</v>
      </c>
    </row>
    <row r="21" spans="1:14" x14ac:dyDescent="0.25">
      <c r="A21" t="s">
        <v>101</v>
      </c>
      <c r="B21" t="s">
        <v>82</v>
      </c>
      <c r="C21">
        <v>6</v>
      </c>
      <c r="D21">
        <v>114</v>
      </c>
      <c r="E21">
        <v>114</v>
      </c>
      <c r="F21">
        <v>126</v>
      </c>
      <c r="G21">
        <v>110</v>
      </c>
      <c r="H21">
        <v>125</v>
      </c>
      <c r="I21">
        <v>30</v>
      </c>
      <c r="J21">
        <v>24</v>
      </c>
      <c r="K21">
        <v>18</v>
      </c>
    </row>
    <row r="22" spans="1:14" x14ac:dyDescent="0.25">
      <c r="A22" t="s">
        <v>102</v>
      </c>
      <c r="B22" t="s">
        <v>82</v>
      </c>
      <c r="C22">
        <v>60</v>
      </c>
      <c r="D22">
        <v>42</v>
      </c>
      <c r="E22">
        <v>42</v>
      </c>
      <c r="F22">
        <v>33</v>
      </c>
      <c r="G22">
        <v>32</v>
      </c>
      <c r="H22">
        <v>3</v>
      </c>
      <c r="I22">
        <v>1</v>
      </c>
      <c r="J22">
        <v>160</v>
      </c>
      <c r="K22">
        <v>1</v>
      </c>
    </row>
    <row r="23" spans="1:14" x14ac:dyDescent="0.25">
      <c r="A23" t="s">
        <v>103</v>
      </c>
      <c r="B23" t="s">
        <v>82</v>
      </c>
      <c r="C23">
        <v>61</v>
      </c>
      <c r="D23">
        <v>8</v>
      </c>
      <c r="E23">
        <v>8</v>
      </c>
      <c r="F23">
        <v>20</v>
      </c>
      <c r="G23">
        <v>20</v>
      </c>
      <c r="H23">
        <v>2</v>
      </c>
      <c r="I23">
        <v>7</v>
      </c>
      <c r="J23">
        <v>7</v>
      </c>
      <c r="K23">
        <v>7</v>
      </c>
    </row>
    <row r="24" spans="1:14" x14ac:dyDescent="0.25">
      <c r="A24" t="s">
        <v>104</v>
      </c>
      <c r="B24" t="s">
        <v>82</v>
      </c>
      <c r="C24">
        <v>63</v>
      </c>
      <c r="D24">
        <v>20</v>
      </c>
      <c r="E24">
        <v>20</v>
      </c>
      <c r="F24">
        <v>21</v>
      </c>
      <c r="G24">
        <v>8</v>
      </c>
      <c r="H24">
        <v>36</v>
      </c>
      <c r="I24">
        <v>2</v>
      </c>
      <c r="J24">
        <v>2</v>
      </c>
      <c r="K24">
        <v>2</v>
      </c>
    </row>
    <row r="25" spans="1:14" x14ac:dyDescent="0.25">
      <c r="A25" t="s">
        <v>105</v>
      </c>
      <c r="B25" t="s">
        <v>82</v>
      </c>
      <c r="C25">
        <v>64</v>
      </c>
      <c r="D25">
        <v>42</v>
      </c>
      <c r="E25">
        <v>42</v>
      </c>
      <c r="F25">
        <v>22</v>
      </c>
      <c r="G25">
        <v>33</v>
      </c>
      <c r="H25">
        <v>22</v>
      </c>
      <c r="I25">
        <v>4</v>
      </c>
      <c r="J25">
        <v>63</v>
      </c>
      <c r="K25">
        <v>4</v>
      </c>
    </row>
    <row r="26" spans="1:14" x14ac:dyDescent="0.25">
      <c r="A26" t="s">
        <v>106</v>
      </c>
      <c r="B26" t="s">
        <v>82</v>
      </c>
      <c r="C26">
        <v>7</v>
      </c>
      <c r="D26">
        <v>121</v>
      </c>
      <c r="E26">
        <v>121</v>
      </c>
      <c r="F26">
        <v>121</v>
      </c>
      <c r="G26">
        <v>13</v>
      </c>
      <c r="H26">
        <v>4</v>
      </c>
      <c r="I26">
        <v>3</v>
      </c>
      <c r="J26">
        <v>1</v>
      </c>
      <c r="K26">
        <v>0</v>
      </c>
    </row>
    <row r="27" spans="1:14" x14ac:dyDescent="0.25">
      <c r="A27" t="s">
        <v>107</v>
      </c>
      <c r="B27" t="s">
        <v>82</v>
      </c>
      <c r="C27">
        <v>9</v>
      </c>
      <c r="D27">
        <v>79</v>
      </c>
      <c r="E27">
        <v>79</v>
      </c>
      <c r="F27">
        <v>81</v>
      </c>
      <c r="G27">
        <v>98</v>
      </c>
      <c r="H27">
        <v>84</v>
      </c>
      <c r="I27">
        <v>111</v>
      </c>
      <c r="J27">
        <v>28</v>
      </c>
      <c r="K27">
        <v>26</v>
      </c>
    </row>
    <row r="29" spans="1:14" x14ac:dyDescent="0.25">
      <c r="I29" t="s">
        <v>216</v>
      </c>
      <c r="J29" t="s">
        <v>217</v>
      </c>
      <c r="K29" t="s">
        <v>218</v>
      </c>
      <c r="L29" t="s">
        <v>219</v>
      </c>
      <c r="M29" t="s">
        <v>220</v>
      </c>
      <c r="N29" t="s">
        <v>221</v>
      </c>
    </row>
    <row r="30" spans="1:14" x14ac:dyDescent="0.25">
      <c r="I30">
        <f>SUM(I2:I27)</f>
        <v>582</v>
      </c>
      <c r="J30">
        <f t="shared" ref="J30:K30" si="0">SUM(J2:J27)</f>
        <v>1205</v>
      </c>
      <c r="K30">
        <f t="shared" si="0"/>
        <v>355</v>
      </c>
      <c r="L30">
        <f>K30/J30</f>
        <v>0.29460580912863071</v>
      </c>
      <c r="M30">
        <f>K30/I30</f>
        <v>0.60996563573883167</v>
      </c>
      <c r="N30">
        <f>2*L30*M30/(L30+M30)</f>
        <v>0.39731393396754339</v>
      </c>
    </row>
    <row r="31" spans="1:14" x14ac:dyDescent="0.25">
      <c r="A31" t="s">
        <v>215</v>
      </c>
      <c r="D31">
        <f>AVERAGE(D2:D27)</f>
        <v>77.07692307692308</v>
      </c>
      <c r="E31">
        <f t="shared" ref="E31:H31" si="1">AVERAGE(E2:E27)</f>
        <v>77</v>
      </c>
      <c r="F31">
        <f t="shared" si="1"/>
        <v>55.96153846153846</v>
      </c>
      <c r="G31">
        <f t="shared" si="1"/>
        <v>47.03846153846154</v>
      </c>
      <c r="H31">
        <f t="shared" si="1"/>
        <v>48.269230769230766</v>
      </c>
    </row>
    <row r="33" spans="1:8" x14ac:dyDescent="0.25">
      <c r="A33" t="s">
        <v>222</v>
      </c>
      <c r="D33">
        <f>COUNTIF(D2:D27,"&lt;=1")</f>
        <v>0</v>
      </c>
      <c r="E33">
        <f t="shared" ref="E33:H33" si="2">COUNTIF(E2:E27,"&lt;=1")</f>
        <v>0</v>
      </c>
      <c r="F33">
        <f t="shared" si="2"/>
        <v>1</v>
      </c>
      <c r="G33">
        <f t="shared" si="2"/>
        <v>1</v>
      </c>
      <c r="H33">
        <f t="shared" si="2"/>
        <v>0</v>
      </c>
    </row>
    <row r="34" spans="1:8" x14ac:dyDescent="0.25">
      <c r="A34" t="s">
        <v>223</v>
      </c>
      <c r="D34">
        <f>COUNTIF(D2:D27,"&lt;=5")</f>
        <v>1</v>
      </c>
      <c r="E34">
        <f t="shared" ref="E34:H34" si="3">COUNTIF(E2:E27,"&lt;=5")</f>
        <v>1</v>
      </c>
      <c r="F34">
        <f t="shared" si="3"/>
        <v>4</v>
      </c>
      <c r="G34">
        <f t="shared" si="3"/>
        <v>1</v>
      </c>
      <c r="H34">
        <f t="shared" si="3"/>
        <v>4</v>
      </c>
    </row>
    <row r="35" spans="1:8" x14ac:dyDescent="0.25">
      <c r="A35" t="s">
        <v>224</v>
      </c>
      <c r="D35">
        <f>COUNTIF(D2:D27,"&lt;=10")</f>
        <v>2</v>
      </c>
      <c r="E35">
        <f t="shared" ref="E35:H35" si="4">COUNTIF(E2:E27,"&lt;=10")</f>
        <v>2</v>
      </c>
      <c r="F35">
        <f t="shared" si="4"/>
        <v>5</v>
      </c>
      <c r="G35">
        <f t="shared" si="4"/>
        <v>3</v>
      </c>
      <c r="H35">
        <f t="shared" si="4"/>
        <v>5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11B54-1DA5-4BD4-BB18-895C9C7BCB2C}">
  <dimension ref="A1:N71"/>
  <sheetViews>
    <sheetView topLeftCell="A50" workbookViewId="0">
      <selection activeCell="A65" sqref="A65:XFD76"/>
    </sheetView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108</v>
      </c>
      <c r="B2" t="s">
        <v>109</v>
      </c>
      <c r="C2">
        <v>1</v>
      </c>
      <c r="D2">
        <v>519</v>
      </c>
      <c r="E2">
        <v>513</v>
      </c>
      <c r="F2">
        <v>51</v>
      </c>
      <c r="G2">
        <v>175</v>
      </c>
      <c r="H2">
        <v>372</v>
      </c>
      <c r="I2">
        <v>2</v>
      </c>
      <c r="J2">
        <v>183</v>
      </c>
      <c r="K2">
        <v>2</v>
      </c>
    </row>
    <row r="3" spans="1:11" x14ac:dyDescent="0.25">
      <c r="A3" t="s">
        <v>110</v>
      </c>
      <c r="B3" t="s">
        <v>109</v>
      </c>
      <c r="C3">
        <v>100</v>
      </c>
      <c r="D3">
        <v>179</v>
      </c>
      <c r="E3">
        <v>179</v>
      </c>
      <c r="F3">
        <v>112</v>
      </c>
      <c r="G3">
        <v>171</v>
      </c>
      <c r="H3">
        <v>2</v>
      </c>
      <c r="I3">
        <v>2</v>
      </c>
      <c r="J3">
        <v>16</v>
      </c>
      <c r="K3">
        <v>2</v>
      </c>
    </row>
    <row r="4" spans="1:11" x14ac:dyDescent="0.25">
      <c r="A4" t="s">
        <v>111</v>
      </c>
      <c r="B4" t="s">
        <v>109</v>
      </c>
      <c r="C4">
        <v>101</v>
      </c>
      <c r="D4">
        <v>33</v>
      </c>
      <c r="E4">
        <v>33</v>
      </c>
      <c r="F4">
        <v>17</v>
      </c>
      <c r="G4">
        <v>34</v>
      </c>
      <c r="H4">
        <v>28</v>
      </c>
      <c r="I4">
        <v>22</v>
      </c>
      <c r="J4">
        <v>24</v>
      </c>
      <c r="K4">
        <v>22</v>
      </c>
    </row>
    <row r="5" spans="1:11" x14ac:dyDescent="0.25">
      <c r="A5" t="s">
        <v>112</v>
      </c>
      <c r="B5" t="s">
        <v>109</v>
      </c>
      <c r="C5">
        <v>102</v>
      </c>
      <c r="D5">
        <v>123</v>
      </c>
      <c r="E5">
        <v>81</v>
      </c>
      <c r="F5">
        <v>6</v>
      </c>
      <c r="G5">
        <v>3</v>
      </c>
      <c r="H5">
        <v>45</v>
      </c>
      <c r="I5">
        <v>0</v>
      </c>
      <c r="J5">
        <v>10</v>
      </c>
      <c r="K5">
        <v>0</v>
      </c>
    </row>
    <row r="6" spans="1:11" x14ac:dyDescent="0.25">
      <c r="A6" t="s">
        <v>113</v>
      </c>
      <c r="B6" t="s">
        <v>109</v>
      </c>
      <c r="C6">
        <v>103</v>
      </c>
      <c r="D6">
        <v>40</v>
      </c>
      <c r="E6">
        <v>40</v>
      </c>
      <c r="F6">
        <v>25</v>
      </c>
      <c r="G6">
        <v>49</v>
      </c>
      <c r="H6">
        <v>16</v>
      </c>
      <c r="I6">
        <v>7</v>
      </c>
      <c r="J6">
        <v>12</v>
      </c>
      <c r="K6">
        <v>7</v>
      </c>
    </row>
    <row r="7" spans="1:11" x14ac:dyDescent="0.25">
      <c r="A7" t="s">
        <v>114</v>
      </c>
      <c r="B7" t="s">
        <v>109</v>
      </c>
      <c r="C7">
        <v>11</v>
      </c>
      <c r="D7">
        <v>3</v>
      </c>
      <c r="E7">
        <v>3</v>
      </c>
      <c r="F7">
        <v>8</v>
      </c>
      <c r="G7">
        <v>204</v>
      </c>
      <c r="H7">
        <v>71</v>
      </c>
      <c r="I7">
        <v>2</v>
      </c>
      <c r="J7">
        <v>2</v>
      </c>
      <c r="K7">
        <v>2</v>
      </c>
    </row>
    <row r="8" spans="1:11" x14ac:dyDescent="0.25">
      <c r="A8" t="s">
        <v>115</v>
      </c>
      <c r="B8" t="s">
        <v>109</v>
      </c>
      <c r="C8">
        <v>13</v>
      </c>
      <c r="D8">
        <v>155</v>
      </c>
      <c r="E8">
        <v>162</v>
      </c>
      <c r="F8">
        <v>182</v>
      </c>
      <c r="G8">
        <v>193</v>
      </c>
      <c r="H8">
        <v>18</v>
      </c>
      <c r="I8">
        <v>83</v>
      </c>
      <c r="J8">
        <v>23</v>
      </c>
      <c r="K8">
        <v>23</v>
      </c>
    </row>
    <row r="9" spans="1:11" x14ac:dyDescent="0.25">
      <c r="A9" t="s">
        <v>116</v>
      </c>
      <c r="B9" t="s">
        <v>109</v>
      </c>
      <c r="C9">
        <v>14</v>
      </c>
      <c r="D9">
        <v>46</v>
      </c>
      <c r="E9">
        <v>65</v>
      </c>
      <c r="F9">
        <v>92</v>
      </c>
      <c r="G9">
        <v>48</v>
      </c>
      <c r="H9">
        <v>111</v>
      </c>
      <c r="I9">
        <v>86</v>
      </c>
      <c r="J9">
        <v>26</v>
      </c>
      <c r="K9">
        <v>26</v>
      </c>
    </row>
    <row r="10" spans="1:11" x14ac:dyDescent="0.25">
      <c r="A10" t="s">
        <v>117</v>
      </c>
      <c r="B10" t="s">
        <v>109</v>
      </c>
      <c r="C10">
        <v>15</v>
      </c>
      <c r="D10">
        <v>650</v>
      </c>
      <c r="E10">
        <v>650</v>
      </c>
      <c r="F10">
        <v>644</v>
      </c>
      <c r="G10">
        <v>231</v>
      </c>
      <c r="H10">
        <v>13</v>
      </c>
      <c r="I10">
        <v>73</v>
      </c>
      <c r="J10">
        <v>74</v>
      </c>
      <c r="K10">
        <v>1</v>
      </c>
    </row>
    <row r="11" spans="1:11" x14ac:dyDescent="0.25">
      <c r="A11" t="s">
        <v>118</v>
      </c>
      <c r="B11" t="s">
        <v>109</v>
      </c>
      <c r="C11">
        <v>16</v>
      </c>
      <c r="D11">
        <v>638</v>
      </c>
      <c r="E11">
        <v>638</v>
      </c>
      <c r="F11">
        <v>632</v>
      </c>
      <c r="G11">
        <v>103</v>
      </c>
      <c r="H11">
        <v>382</v>
      </c>
      <c r="I11">
        <v>26</v>
      </c>
      <c r="J11">
        <v>72</v>
      </c>
      <c r="K11">
        <v>3</v>
      </c>
    </row>
    <row r="12" spans="1:11" x14ac:dyDescent="0.25">
      <c r="A12" t="s">
        <v>119</v>
      </c>
      <c r="B12" t="s">
        <v>109</v>
      </c>
      <c r="C12">
        <v>17</v>
      </c>
      <c r="D12">
        <v>660</v>
      </c>
      <c r="E12">
        <v>699</v>
      </c>
      <c r="F12">
        <v>700</v>
      </c>
      <c r="G12">
        <v>693</v>
      </c>
      <c r="H12">
        <v>53</v>
      </c>
      <c r="I12">
        <v>26</v>
      </c>
      <c r="J12">
        <v>30</v>
      </c>
      <c r="K12">
        <v>3</v>
      </c>
    </row>
    <row r="13" spans="1:11" x14ac:dyDescent="0.25">
      <c r="A13" t="s">
        <v>120</v>
      </c>
      <c r="B13" t="s">
        <v>109</v>
      </c>
      <c r="C13">
        <v>2</v>
      </c>
      <c r="D13">
        <v>9</v>
      </c>
      <c r="E13">
        <v>9</v>
      </c>
      <c r="F13">
        <v>38</v>
      </c>
      <c r="G13">
        <v>11</v>
      </c>
      <c r="H13">
        <v>80</v>
      </c>
      <c r="I13">
        <v>6</v>
      </c>
      <c r="J13">
        <v>5</v>
      </c>
      <c r="K13">
        <v>5</v>
      </c>
    </row>
    <row r="14" spans="1:11" x14ac:dyDescent="0.25">
      <c r="A14" t="s">
        <v>121</v>
      </c>
      <c r="B14" t="s">
        <v>109</v>
      </c>
      <c r="C14">
        <v>21</v>
      </c>
      <c r="D14">
        <v>131</v>
      </c>
      <c r="E14">
        <v>88</v>
      </c>
      <c r="F14">
        <v>65</v>
      </c>
      <c r="G14">
        <v>49</v>
      </c>
      <c r="H14">
        <v>73</v>
      </c>
      <c r="I14">
        <v>2</v>
      </c>
      <c r="J14">
        <v>7</v>
      </c>
      <c r="K14">
        <v>2</v>
      </c>
    </row>
    <row r="15" spans="1:11" x14ac:dyDescent="0.25">
      <c r="A15" t="s">
        <v>122</v>
      </c>
      <c r="B15" t="s">
        <v>109</v>
      </c>
      <c r="C15">
        <v>22</v>
      </c>
      <c r="D15">
        <v>291</v>
      </c>
      <c r="E15">
        <v>278</v>
      </c>
      <c r="F15">
        <v>87</v>
      </c>
      <c r="G15">
        <v>2</v>
      </c>
      <c r="H15">
        <v>71</v>
      </c>
      <c r="I15">
        <v>0</v>
      </c>
      <c r="J15">
        <v>25</v>
      </c>
      <c r="K15">
        <v>0</v>
      </c>
    </row>
    <row r="16" spans="1:11" x14ac:dyDescent="0.25">
      <c r="A16" t="s">
        <v>123</v>
      </c>
      <c r="B16" t="s">
        <v>109</v>
      </c>
      <c r="C16">
        <v>23</v>
      </c>
      <c r="D16">
        <v>121</v>
      </c>
      <c r="E16">
        <v>121</v>
      </c>
      <c r="F16">
        <v>144</v>
      </c>
      <c r="G16">
        <v>149</v>
      </c>
      <c r="H16">
        <v>4</v>
      </c>
      <c r="I16">
        <v>10</v>
      </c>
      <c r="J16">
        <v>6</v>
      </c>
      <c r="K16">
        <v>4</v>
      </c>
    </row>
    <row r="17" spans="1:11" x14ac:dyDescent="0.25">
      <c r="A17" t="s">
        <v>124</v>
      </c>
      <c r="B17" t="s">
        <v>109</v>
      </c>
      <c r="C17">
        <v>24</v>
      </c>
      <c r="D17">
        <v>140</v>
      </c>
      <c r="E17">
        <v>140</v>
      </c>
      <c r="F17">
        <v>184</v>
      </c>
      <c r="G17">
        <v>181</v>
      </c>
      <c r="H17">
        <v>203</v>
      </c>
      <c r="I17">
        <v>9</v>
      </c>
      <c r="J17">
        <v>5</v>
      </c>
      <c r="K17">
        <v>3</v>
      </c>
    </row>
    <row r="18" spans="1:11" x14ac:dyDescent="0.25">
      <c r="A18" t="s">
        <v>125</v>
      </c>
      <c r="B18" t="s">
        <v>109</v>
      </c>
      <c r="C18">
        <v>26</v>
      </c>
      <c r="D18">
        <v>405</v>
      </c>
      <c r="E18">
        <v>409</v>
      </c>
      <c r="F18">
        <v>413</v>
      </c>
      <c r="G18">
        <v>88</v>
      </c>
      <c r="H18">
        <v>321</v>
      </c>
      <c r="I18">
        <v>55</v>
      </c>
      <c r="J18">
        <v>95</v>
      </c>
      <c r="K18">
        <v>20</v>
      </c>
    </row>
    <row r="19" spans="1:11" x14ac:dyDescent="0.25">
      <c r="A19" t="s">
        <v>126</v>
      </c>
      <c r="B19" t="s">
        <v>109</v>
      </c>
      <c r="C19">
        <v>27</v>
      </c>
      <c r="D19">
        <v>66</v>
      </c>
      <c r="E19">
        <v>66</v>
      </c>
      <c r="F19">
        <v>28</v>
      </c>
      <c r="G19">
        <v>65</v>
      </c>
      <c r="H19">
        <v>11</v>
      </c>
      <c r="I19">
        <v>1</v>
      </c>
      <c r="J19">
        <v>205</v>
      </c>
      <c r="K19">
        <v>1</v>
      </c>
    </row>
    <row r="20" spans="1:11" x14ac:dyDescent="0.25">
      <c r="A20" t="s">
        <v>127</v>
      </c>
      <c r="B20" t="s">
        <v>109</v>
      </c>
      <c r="C20">
        <v>28</v>
      </c>
      <c r="D20">
        <v>120</v>
      </c>
      <c r="E20">
        <v>120</v>
      </c>
      <c r="F20">
        <v>64</v>
      </c>
      <c r="G20">
        <v>71</v>
      </c>
      <c r="H20">
        <v>3</v>
      </c>
      <c r="I20">
        <v>9</v>
      </c>
      <c r="J20">
        <v>18</v>
      </c>
      <c r="K20">
        <v>8</v>
      </c>
    </row>
    <row r="21" spans="1:11" x14ac:dyDescent="0.25">
      <c r="A21" t="s">
        <v>128</v>
      </c>
      <c r="B21" t="s">
        <v>109</v>
      </c>
      <c r="C21">
        <v>29</v>
      </c>
      <c r="D21">
        <v>198</v>
      </c>
      <c r="E21">
        <v>198</v>
      </c>
      <c r="F21">
        <v>32</v>
      </c>
      <c r="G21">
        <v>66</v>
      </c>
      <c r="H21">
        <v>81</v>
      </c>
      <c r="I21">
        <v>1</v>
      </c>
      <c r="J21">
        <v>26</v>
      </c>
      <c r="K21">
        <v>1</v>
      </c>
    </row>
    <row r="22" spans="1:11" x14ac:dyDescent="0.25">
      <c r="A22" t="s">
        <v>129</v>
      </c>
      <c r="B22" t="s">
        <v>109</v>
      </c>
      <c r="C22">
        <v>31</v>
      </c>
      <c r="D22">
        <v>270</v>
      </c>
      <c r="E22">
        <v>270</v>
      </c>
      <c r="F22">
        <v>434</v>
      </c>
      <c r="G22">
        <v>206</v>
      </c>
      <c r="H22">
        <v>2</v>
      </c>
      <c r="I22">
        <v>106</v>
      </c>
      <c r="J22">
        <v>251</v>
      </c>
      <c r="K22">
        <v>94</v>
      </c>
    </row>
    <row r="23" spans="1:11" x14ac:dyDescent="0.25">
      <c r="A23" t="s">
        <v>130</v>
      </c>
      <c r="B23" t="s">
        <v>109</v>
      </c>
      <c r="C23">
        <v>32</v>
      </c>
      <c r="D23">
        <v>1328</v>
      </c>
      <c r="E23">
        <v>1193</v>
      </c>
      <c r="F23">
        <v>63</v>
      </c>
      <c r="G23">
        <v>563</v>
      </c>
      <c r="H23">
        <v>528</v>
      </c>
      <c r="I23">
        <v>0</v>
      </c>
      <c r="J23">
        <v>5</v>
      </c>
      <c r="K23">
        <v>0</v>
      </c>
    </row>
    <row r="24" spans="1:11" x14ac:dyDescent="0.25">
      <c r="A24" t="s">
        <v>131</v>
      </c>
      <c r="B24" t="s">
        <v>109</v>
      </c>
      <c r="C24">
        <v>33</v>
      </c>
      <c r="D24">
        <v>160</v>
      </c>
      <c r="E24">
        <v>135</v>
      </c>
      <c r="F24">
        <v>45</v>
      </c>
      <c r="G24">
        <v>18</v>
      </c>
      <c r="H24">
        <v>348</v>
      </c>
      <c r="I24">
        <v>17</v>
      </c>
      <c r="J24">
        <v>19</v>
      </c>
      <c r="K24">
        <v>16</v>
      </c>
    </row>
    <row r="25" spans="1:11" x14ac:dyDescent="0.25">
      <c r="A25" t="s">
        <v>132</v>
      </c>
      <c r="B25" t="s">
        <v>109</v>
      </c>
      <c r="C25">
        <v>36</v>
      </c>
      <c r="D25">
        <v>355</v>
      </c>
      <c r="E25">
        <v>355</v>
      </c>
      <c r="F25">
        <v>37</v>
      </c>
      <c r="G25">
        <v>39</v>
      </c>
      <c r="H25">
        <v>265</v>
      </c>
      <c r="I25">
        <v>39</v>
      </c>
      <c r="J25">
        <v>74</v>
      </c>
      <c r="K25">
        <v>39</v>
      </c>
    </row>
    <row r="26" spans="1:11" x14ac:dyDescent="0.25">
      <c r="A26" t="s">
        <v>133</v>
      </c>
      <c r="B26" t="s">
        <v>109</v>
      </c>
      <c r="C26">
        <v>37</v>
      </c>
      <c r="D26">
        <v>252</v>
      </c>
      <c r="E26">
        <v>252</v>
      </c>
      <c r="F26">
        <v>199</v>
      </c>
      <c r="G26">
        <v>66</v>
      </c>
      <c r="H26">
        <v>26</v>
      </c>
      <c r="I26">
        <v>4</v>
      </c>
      <c r="J26">
        <v>84</v>
      </c>
      <c r="K26">
        <v>2</v>
      </c>
    </row>
    <row r="27" spans="1:11" x14ac:dyDescent="0.25">
      <c r="A27" t="s">
        <v>134</v>
      </c>
      <c r="B27" t="s">
        <v>109</v>
      </c>
      <c r="C27">
        <v>38</v>
      </c>
      <c r="D27">
        <v>276</v>
      </c>
      <c r="E27">
        <v>276</v>
      </c>
      <c r="F27">
        <v>83</v>
      </c>
      <c r="G27">
        <v>172</v>
      </c>
      <c r="H27">
        <v>76</v>
      </c>
      <c r="I27">
        <v>0</v>
      </c>
      <c r="J27">
        <v>13</v>
      </c>
      <c r="K27">
        <v>0</v>
      </c>
    </row>
    <row r="28" spans="1:11" x14ac:dyDescent="0.25">
      <c r="A28" t="s">
        <v>135</v>
      </c>
      <c r="B28" t="s">
        <v>109</v>
      </c>
      <c r="C28">
        <v>40</v>
      </c>
      <c r="D28">
        <v>13</v>
      </c>
      <c r="E28">
        <v>13</v>
      </c>
      <c r="F28">
        <v>20</v>
      </c>
      <c r="G28">
        <v>15</v>
      </c>
      <c r="H28">
        <v>45</v>
      </c>
      <c r="I28">
        <v>16</v>
      </c>
      <c r="J28">
        <v>24</v>
      </c>
      <c r="K28">
        <v>16</v>
      </c>
    </row>
    <row r="29" spans="1:11" x14ac:dyDescent="0.25">
      <c r="A29" t="s">
        <v>136</v>
      </c>
      <c r="B29" t="s">
        <v>109</v>
      </c>
      <c r="C29">
        <v>41</v>
      </c>
      <c r="D29">
        <v>97</v>
      </c>
      <c r="E29">
        <v>97</v>
      </c>
      <c r="F29">
        <v>35</v>
      </c>
      <c r="G29">
        <v>31</v>
      </c>
      <c r="H29">
        <v>38</v>
      </c>
      <c r="I29">
        <v>2</v>
      </c>
      <c r="J29">
        <v>93</v>
      </c>
      <c r="K29">
        <v>2</v>
      </c>
    </row>
    <row r="30" spans="1:11" x14ac:dyDescent="0.25">
      <c r="A30" t="s">
        <v>137</v>
      </c>
      <c r="B30" t="s">
        <v>109</v>
      </c>
      <c r="C30">
        <v>42</v>
      </c>
      <c r="D30">
        <v>78</v>
      </c>
      <c r="E30">
        <v>78</v>
      </c>
      <c r="F30">
        <v>28</v>
      </c>
      <c r="G30">
        <v>54</v>
      </c>
      <c r="H30">
        <v>197</v>
      </c>
      <c r="I30">
        <v>18</v>
      </c>
      <c r="J30">
        <v>18</v>
      </c>
      <c r="K30">
        <v>17</v>
      </c>
    </row>
    <row r="31" spans="1:11" x14ac:dyDescent="0.25">
      <c r="A31" t="s">
        <v>138</v>
      </c>
      <c r="B31" t="s">
        <v>109</v>
      </c>
      <c r="C31">
        <v>43</v>
      </c>
      <c r="D31">
        <v>129</v>
      </c>
      <c r="E31">
        <v>129</v>
      </c>
      <c r="F31">
        <v>146</v>
      </c>
      <c r="G31">
        <v>70</v>
      </c>
      <c r="H31">
        <v>159</v>
      </c>
      <c r="I31">
        <v>44</v>
      </c>
      <c r="J31">
        <v>55</v>
      </c>
      <c r="K31">
        <v>44</v>
      </c>
    </row>
    <row r="32" spans="1:11" x14ac:dyDescent="0.25">
      <c r="A32" t="s">
        <v>139</v>
      </c>
      <c r="B32" t="s">
        <v>109</v>
      </c>
      <c r="C32">
        <v>44</v>
      </c>
      <c r="D32">
        <v>252</v>
      </c>
      <c r="E32">
        <v>250</v>
      </c>
      <c r="F32">
        <v>304</v>
      </c>
      <c r="G32">
        <v>337</v>
      </c>
      <c r="H32">
        <v>785</v>
      </c>
      <c r="I32">
        <v>136</v>
      </c>
      <c r="J32">
        <v>107</v>
      </c>
      <c r="K32">
        <v>99</v>
      </c>
    </row>
    <row r="33" spans="1:11" x14ac:dyDescent="0.25">
      <c r="A33" t="s">
        <v>140</v>
      </c>
      <c r="B33" t="s">
        <v>109</v>
      </c>
      <c r="C33">
        <v>46</v>
      </c>
      <c r="D33">
        <v>337</v>
      </c>
      <c r="E33">
        <v>337</v>
      </c>
      <c r="F33">
        <v>7</v>
      </c>
      <c r="G33">
        <v>41</v>
      </c>
      <c r="H33">
        <v>234</v>
      </c>
      <c r="I33">
        <v>2</v>
      </c>
      <c r="J33">
        <v>73</v>
      </c>
      <c r="K33">
        <v>0</v>
      </c>
    </row>
    <row r="34" spans="1:11" x14ac:dyDescent="0.25">
      <c r="A34" t="s">
        <v>141</v>
      </c>
      <c r="B34" t="s">
        <v>109</v>
      </c>
      <c r="C34">
        <v>47</v>
      </c>
      <c r="D34">
        <v>296</v>
      </c>
      <c r="E34">
        <v>300</v>
      </c>
      <c r="F34">
        <v>356</v>
      </c>
      <c r="G34">
        <v>59</v>
      </c>
      <c r="H34">
        <v>5</v>
      </c>
      <c r="I34">
        <v>184</v>
      </c>
      <c r="J34">
        <v>73</v>
      </c>
      <c r="K34">
        <v>69</v>
      </c>
    </row>
    <row r="35" spans="1:11" x14ac:dyDescent="0.25">
      <c r="A35" t="s">
        <v>142</v>
      </c>
      <c r="B35" t="s">
        <v>109</v>
      </c>
      <c r="C35">
        <v>48</v>
      </c>
      <c r="D35">
        <v>714</v>
      </c>
      <c r="E35">
        <v>714</v>
      </c>
      <c r="F35">
        <v>662</v>
      </c>
      <c r="G35">
        <v>321</v>
      </c>
      <c r="H35">
        <v>87</v>
      </c>
      <c r="I35">
        <v>6</v>
      </c>
      <c r="J35">
        <v>4</v>
      </c>
      <c r="K35">
        <v>0</v>
      </c>
    </row>
    <row r="36" spans="1:11" x14ac:dyDescent="0.25">
      <c r="A36" t="s">
        <v>143</v>
      </c>
      <c r="B36" t="s">
        <v>109</v>
      </c>
      <c r="C36">
        <v>52</v>
      </c>
      <c r="D36">
        <v>402</v>
      </c>
      <c r="E36">
        <v>402</v>
      </c>
      <c r="F36">
        <v>73</v>
      </c>
      <c r="G36">
        <v>400</v>
      </c>
      <c r="H36">
        <v>164</v>
      </c>
      <c r="I36">
        <v>1</v>
      </c>
      <c r="J36">
        <v>18</v>
      </c>
      <c r="K36">
        <v>1</v>
      </c>
    </row>
    <row r="37" spans="1:11" x14ac:dyDescent="0.25">
      <c r="A37" t="s">
        <v>144</v>
      </c>
      <c r="B37" t="s">
        <v>109</v>
      </c>
      <c r="C37">
        <v>54</v>
      </c>
      <c r="D37">
        <v>7</v>
      </c>
      <c r="E37">
        <v>7</v>
      </c>
      <c r="F37">
        <v>7</v>
      </c>
      <c r="G37">
        <v>17</v>
      </c>
      <c r="H37">
        <v>21</v>
      </c>
      <c r="I37">
        <v>19</v>
      </c>
      <c r="J37">
        <v>19</v>
      </c>
      <c r="K37">
        <v>19</v>
      </c>
    </row>
    <row r="38" spans="1:11" x14ac:dyDescent="0.25">
      <c r="A38" t="s">
        <v>145</v>
      </c>
      <c r="B38" t="s">
        <v>109</v>
      </c>
      <c r="C38">
        <v>55</v>
      </c>
      <c r="D38">
        <v>36</v>
      </c>
      <c r="E38">
        <v>36</v>
      </c>
      <c r="F38">
        <v>20</v>
      </c>
      <c r="G38">
        <v>23</v>
      </c>
      <c r="H38">
        <v>11</v>
      </c>
      <c r="I38">
        <v>3</v>
      </c>
      <c r="J38">
        <v>79</v>
      </c>
      <c r="K38">
        <v>3</v>
      </c>
    </row>
    <row r="39" spans="1:11" x14ac:dyDescent="0.25">
      <c r="A39" t="s">
        <v>146</v>
      </c>
      <c r="B39" t="s">
        <v>109</v>
      </c>
      <c r="C39">
        <v>56</v>
      </c>
      <c r="D39">
        <v>336</v>
      </c>
      <c r="E39">
        <v>336</v>
      </c>
      <c r="F39">
        <v>21</v>
      </c>
      <c r="G39">
        <v>11</v>
      </c>
      <c r="H39">
        <v>323</v>
      </c>
      <c r="I39">
        <v>0</v>
      </c>
      <c r="J39">
        <v>2</v>
      </c>
      <c r="K39">
        <v>0</v>
      </c>
    </row>
    <row r="40" spans="1:11" x14ac:dyDescent="0.25">
      <c r="A40" t="s">
        <v>147</v>
      </c>
      <c r="B40" t="s">
        <v>109</v>
      </c>
      <c r="C40">
        <v>57</v>
      </c>
      <c r="D40">
        <v>1</v>
      </c>
      <c r="E40">
        <v>1</v>
      </c>
      <c r="F40">
        <v>1</v>
      </c>
      <c r="G40">
        <v>3</v>
      </c>
      <c r="H40">
        <v>83</v>
      </c>
      <c r="I40">
        <v>2</v>
      </c>
      <c r="J40">
        <v>2</v>
      </c>
      <c r="K40">
        <v>2</v>
      </c>
    </row>
    <row r="41" spans="1:11" x14ac:dyDescent="0.25">
      <c r="A41" t="s">
        <v>148</v>
      </c>
      <c r="B41" t="s">
        <v>109</v>
      </c>
      <c r="C41">
        <v>58</v>
      </c>
      <c r="D41">
        <v>37</v>
      </c>
      <c r="E41">
        <v>37</v>
      </c>
      <c r="F41">
        <v>45</v>
      </c>
      <c r="G41">
        <v>142</v>
      </c>
      <c r="H41">
        <v>944</v>
      </c>
      <c r="I41">
        <v>5</v>
      </c>
      <c r="J41">
        <v>5</v>
      </c>
      <c r="K41">
        <v>5</v>
      </c>
    </row>
    <row r="42" spans="1:11" x14ac:dyDescent="0.25">
      <c r="A42" t="s">
        <v>149</v>
      </c>
      <c r="B42" t="s">
        <v>109</v>
      </c>
      <c r="C42">
        <v>59</v>
      </c>
      <c r="D42">
        <v>921</v>
      </c>
      <c r="E42">
        <v>921</v>
      </c>
      <c r="F42">
        <v>921</v>
      </c>
      <c r="G42">
        <v>126</v>
      </c>
      <c r="H42">
        <v>921</v>
      </c>
      <c r="I42">
        <v>0</v>
      </c>
      <c r="J42">
        <v>1408</v>
      </c>
      <c r="K42">
        <v>0</v>
      </c>
    </row>
    <row r="43" spans="1:11" x14ac:dyDescent="0.25">
      <c r="A43" t="s">
        <v>150</v>
      </c>
      <c r="B43" t="s">
        <v>109</v>
      </c>
      <c r="C43">
        <v>6</v>
      </c>
      <c r="D43">
        <v>22</v>
      </c>
      <c r="E43">
        <v>25</v>
      </c>
      <c r="F43">
        <v>110</v>
      </c>
      <c r="G43">
        <v>17</v>
      </c>
      <c r="H43">
        <v>1863</v>
      </c>
      <c r="I43">
        <v>199</v>
      </c>
      <c r="J43">
        <v>113</v>
      </c>
      <c r="K43">
        <v>112</v>
      </c>
    </row>
    <row r="44" spans="1:11" x14ac:dyDescent="0.25">
      <c r="A44" t="s">
        <v>151</v>
      </c>
      <c r="B44" t="s">
        <v>109</v>
      </c>
      <c r="C44">
        <v>61</v>
      </c>
      <c r="D44">
        <v>274</v>
      </c>
      <c r="E44">
        <v>274</v>
      </c>
      <c r="F44">
        <v>274</v>
      </c>
      <c r="G44">
        <v>261</v>
      </c>
      <c r="H44">
        <v>109</v>
      </c>
      <c r="I44">
        <v>0</v>
      </c>
      <c r="J44">
        <v>1</v>
      </c>
      <c r="K44">
        <v>0</v>
      </c>
    </row>
    <row r="45" spans="1:11" x14ac:dyDescent="0.25">
      <c r="A45" t="s">
        <v>152</v>
      </c>
      <c r="B45" t="s">
        <v>109</v>
      </c>
      <c r="C45">
        <v>64</v>
      </c>
      <c r="D45">
        <v>118</v>
      </c>
      <c r="E45">
        <v>118</v>
      </c>
      <c r="F45">
        <v>122</v>
      </c>
      <c r="G45">
        <v>31</v>
      </c>
      <c r="H45">
        <v>201</v>
      </c>
      <c r="I45">
        <v>49</v>
      </c>
      <c r="J45">
        <v>23</v>
      </c>
      <c r="K45">
        <v>23</v>
      </c>
    </row>
    <row r="46" spans="1:11" x14ac:dyDescent="0.25">
      <c r="A46" t="s">
        <v>153</v>
      </c>
      <c r="B46" t="s">
        <v>109</v>
      </c>
      <c r="C46">
        <v>65</v>
      </c>
      <c r="D46">
        <v>252</v>
      </c>
      <c r="E46">
        <v>252</v>
      </c>
      <c r="F46">
        <v>120</v>
      </c>
      <c r="G46">
        <v>47</v>
      </c>
      <c r="H46">
        <v>233</v>
      </c>
      <c r="I46">
        <v>43</v>
      </c>
      <c r="J46">
        <v>49</v>
      </c>
      <c r="K46">
        <v>32</v>
      </c>
    </row>
    <row r="47" spans="1:11" x14ac:dyDescent="0.25">
      <c r="A47" t="s">
        <v>154</v>
      </c>
      <c r="B47" t="s">
        <v>109</v>
      </c>
      <c r="C47">
        <v>66</v>
      </c>
      <c r="D47">
        <v>7</v>
      </c>
      <c r="E47">
        <v>7</v>
      </c>
      <c r="F47">
        <v>260</v>
      </c>
      <c r="G47">
        <v>9</v>
      </c>
      <c r="H47">
        <v>8</v>
      </c>
      <c r="I47">
        <v>6</v>
      </c>
      <c r="J47">
        <v>5</v>
      </c>
      <c r="K47">
        <v>5</v>
      </c>
    </row>
    <row r="48" spans="1:11" x14ac:dyDescent="0.25">
      <c r="A48" t="s">
        <v>155</v>
      </c>
      <c r="B48" t="s">
        <v>109</v>
      </c>
      <c r="C48">
        <v>68</v>
      </c>
      <c r="D48">
        <v>129</v>
      </c>
      <c r="E48">
        <v>129</v>
      </c>
      <c r="F48">
        <v>129</v>
      </c>
      <c r="G48">
        <v>138</v>
      </c>
      <c r="H48">
        <v>68</v>
      </c>
      <c r="I48">
        <v>41</v>
      </c>
      <c r="J48">
        <v>18</v>
      </c>
      <c r="K48">
        <v>18</v>
      </c>
    </row>
    <row r="49" spans="1:11" x14ac:dyDescent="0.25">
      <c r="A49" t="s">
        <v>156</v>
      </c>
      <c r="B49" t="s">
        <v>109</v>
      </c>
      <c r="C49">
        <v>69</v>
      </c>
      <c r="D49">
        <v>10</v>
      </c>
      <c r="E49">
        <v>10</v>
      </c>
      <c r="F49">
        <v>12</v>
      </c>
      <c r="G49">
        <v>34</v>
      </c>
      <c r="H49">
        <v>137</v>
      </c>
      <c r="I49">
        <v>5</v>
      </c>
      <c r="J49">
        <v>5</v>
      </c>
      <c r="K49">
        <v>5</v>
      </c>
    </row>
    <row r="50" spans="1:11" x14ac:dyDescent="0.25">
      <c r="A50" t="s">
        <v>157</v>
      </c>
      <c r="B50" t="s">
        <v>109</v>
      </c>
      <c r="C50">
        <v>7</v>
      </c>
      <c r="D50">
        <v>858</v>
      </c>
      <c r="E50">
        <v>858</v>
      </c>
      <c r="F50">
        <v>682</v>
      </c>
      <c r="G50">
        <v>241</v>
      </c>
      <c r="H50">
        <v>853</v>
      </c>
      <c r="I50">
        <v>17</v>
      </c>
      <c r="J50">
        <v>107</v>
      </c>
      <c r="K50">
        <v>10</v>
      </c>
    </row>
    <row r="51" spans="1:11" x14ac:dyDescent="0.25">
      <c r="A51" t="s">
        <v>158</v>
      </c>
      <c r="B51" t="s">
        <v>109</v>
      </c>
      <c r="C51">
        <v>74</v>
      </c>
      <c r="D51">
        <v>685</v>
      </c>
      <c r="E51">
        <v>800</v>
      </c>
      <c r="F51">
        <v>801</v>
      </c>
      <c r="G51">
        <v>744</v>
      </c>
      <c r="H51">
        <v>200</v>
      </c>
      <c r="I51">
        <v>41</v>
      </c>
      <c r="J51">
        <v>13</v>
      </c>
      <c r="K51">
        <v>9</v>
      </c>
    </row>
    <row r="52" spans="1:11" x14ac:dyDescent="0.25">
      <c r="A52" t="s">
        <v>159</v>
      </c>
      <c r="B52" t="s">
        <v>109</v>
      </c>
      <c r="C52">
        <v>76</v>
      </c>
      <c r="D52">
        <v>161</v>
      </c>
      <c r="E52">
        <v>161</v>
      </c>
      <c r="F52">
        <v>59</v>
      </c>
      <c r="G52">
        <v>35</v>
      </c>
      <c r="H52">
        <v>313</v>
      </c>
      <c r="I52">
        <v>9</v>
      </c>
      <c r="J52">
        <v>11</v>
      </c>
      <c r="K52">
        <v>9</v>
      </c>
    </row>
    <row r="53" spans="1:11" x14ac:dyDescent="0.25">
      <c r="A53" t="s">
        <v>160</v>
      </c>
      <c r="B53" t="s">
        <v>109</v>
      </c>
      <c r="C53">
        <v>79</v>
      </c>
      <c r="D53">
        <v>30</v>
      </c>
      <c r="E53">
        <v>30</v>
      </c>
      <c r="F53">
        <v>30</v>
      </c>
      <c r="G53">
        <v>5</v>
      </c>
      <c r="H53">
        <v>21</v>
      </c>
      <c r="I53">
        <v>3</v>
      </c>
      <c r="J53">
        <v>1</v>
      </c>
      <c r="K53">
        <v>1</v>
      </c>
    </row>
    <row r="54" spans="1:11" x14ac:dyDescent="0.25">
      <c r="A54" t="s">
        <v>161</v>
      </c>
      <c r="B54" t="s">
        <v>109</v>
      </c>
      <c r="C54">
        <v>81</v>
      </c>
      <c r="D54">
        <v>51</v>
      </c>
      <c r="E54">
        <v>51</v>
      </c>
      <c r="F54">
        <v>51</v>
      </c>
      <c r="G54">
        <v>56</v>
      </c>
      <c r="H54">
        <v>209</v>
      </c>
      <c r="I54">
        <v>34</v>
      </c>
      <c r="J54">
        <v>15</v>
      </c>
      <c r="K54">
        <v>15</v>
      </c>
    </row>
    <row r="55" spans="1:11" x14ac:dyDescent="0.25">
      <c r="A55" t="s">
        <v>162</v>
      </c>
      <c r="B55" t="s">
        <v>109</v>
      </c>
      <c r="C55">
        <v>82</v>
      </c>
      <c r="D55">
        <v>205</v>
      </c>
      <c r="E55">
        <v>205</v>
      </c>
      <c r="F55">
        <v>210</v>
      </c>
      <c r="G55">
        <v>234</v>
      </c>
      <c r="H55">
        <v>105</v>
      </c>
      <c r="I55">
        <v>13</v>
      </c>
      <c r="J55">
        <v>11</v>
      </c>
      <c r="K55">
        <v>11</v>
      </c>
    </row>
    <row r="56" spans="1:11" x14ac:dyDescent="0.25">
      <c r="A56" t="s">
        <v>163</v>
      </c>
      <c r="B56" t="s">
        <v>109</v>
      </c>
      <c r="C56">
        <v>83</v>
      </c>
      <c r="D56">
        <v>84</v>
      </c>
      <c r="E56">
        <v>84</v>
      </c>
      <c r="F56">
        <v>82</v>
      </c>
      <c r="G56">
        <v>17</v>
      </c>
      <c r="H56">
        <v>28</v>
      </c>
      <c r="I56">
        <v>15</v>
      </c>
      <c r="J56">
        <v>12</v>
      </c>
      <c r="K56">
        <v>12</v>
      </c>
    </row>
    <row r="57" spans="1:11" x14ac:dyDescent="0.25">
      <c r="A57" t="s">
        <v>164</v>
      </c>
      <c r="B57" t="s">
        <v>109</v>
      </c>
      <c r="C57">
        <v>84</v>
      </c>
      <c r="D57">
        <v>20</v>
      </c>
      <c r="E57">
        <v>20</v>
      </c>
      <c r="F57">
        <v>46</v>
      </c>
      <c r="G57">
        <v>14</v>
      </c>
      <c r="H57">
        <v>24</v>
      </c>
      <c r="I57">
        <v>2</v>
      </c>
      <c r="J57">
        <v>2</v>
      </c>
      <c r="K57">
        <v>2</v>
      </c>
    </row>
    <row r="58" spans="1:11" x14ac:dyDescent="0.25">
      <c r="A58" t="s">
        <v>165</v>
      </c>
      <c r="B58" t="s">
        <v>109</v>
      </c>
      <c r="C58">
        <v>85</v>
      </c>
      <c r="D58">
        <v>45</v>
      </c>
      <c r="E58">
        <v>45</v>
      </c>
      <c r="F58">
        <v>85</v>
      </c>
      <c r="G58">
        <v>16</v>
      </c>
      <c r="H58">
        <v>43</v>
      </c>
      <c r="I58">
        <v>16</v>
      </c>
      <c r="J58">
        <v>37</v>
      </c>
      <c r="K58">
        <v>15</v>
      </c>
    </row>
    <row r="59" spans="1:11" x14ac:dyDescent="0.25">
      <c r="A59" t="s">
        <v>166</v>
      </c>
      <c r="B59" t="s">
        <v>109</v>
      </c>
      <c r="C59">
        <v>86</v>
      </c>
      <c r="D59">
        <v>49</v>
      </c>
      <c r="E59">
        <v>49</v>
      </c>
      <c r="F59">
        <v>102</v>
      </c>
      <c r="G59">
        <v>26</v>
      </c>
      <c r="H59">
        <v>93</v>
      </c>
      <c r="I59">
        <v>9</v>
      </c>
      <c r="J59">
        <v>5</v>
      </c>
      <c r="K59">
        <v>5</v>
      </c>
    </row>
    <row r="60" spans="1:11" x14ac:dyDescent="0.25">
      <c r="A60" t="s">
        <v>167</v>
      </c>
      <c r="B60" t="s">
        <v>109</v>
      </c>
      <c r="C60">
        <v>87</v>
      </c>
      <c r="D60">
        <v>101</v>
      </c>
      <c r="E60">
        <v>101</v>
      </c>
      <c r="F60">
        <v>106</v>
      </c>
      <c r="G60">
        <v>92</v>
      </c>
      <c r="H60">
        <v>239</v>
      </c>
      <c r="I60">
        <v>14</v>
      </c>
      <c r="J60">
        <v>11</v>
      </c>
      <c r="K60">
        <v>11</v>
      </c>
    </row>
    <row r="61" spans="1:11" x14ac:dyDescent="0.25">
      <c r="A61" t="s">
        <v>168</v>
      </c>
      <c r="B61" t="s">
        <v>109</v>
      </c>
      <c r="C61">
        <v>88</v>
      </c>
      <c r="D61">
        <v>91</v>
      </c>
      <c r="E61">
        <v>91</v>
      </c>
      <c r="F61">
        <v>83</v>
      </c>
      <c r="G61">
        <v>26</v>
      </c>
      <c r="H61">
        <v>137</v>
      </c>
      <c r="I61">
        <v>8</v>
      </c>
      <c r="J61">
        <v>10</v>
      </c>
      <c r="K61">
        <v>8</v>
      </c>
    </row>
    <row r="62" spans="1:11" x14ac:dyDescent="0.25">
      <c r="A62" t="s">
        <v>169</v>
      </c>
      <c r="B62" t="s">
        <v>109</v>
      </c>
      <c r="C62">
        <v>95</v>
      </c>
      <c r="D62">
        <v>83</v>
      </c>
      <c r="E62">
        <v>83</v>
      </c>
      <c r="F62">
        <v>38</v>
      </c>
      <c r="G62">
        <v>54</v>
      </c>
      <c r="H62">
        <v>51</v>
      </c>
      <c r="I62">
        <v>2</v>
      </c>
      <c r="J62">
        <v>17</v>
      </c>
      <c r="K62">
        <v>2</v>
      </c>
    </row>
    <row r="63" spans="1:11" x14ac:dyDescent="0.25">
      <c r="A63" t="s">
        <v>170</v>
      </c>
      <c r="B63" t="s">
        <v>109</v>
      </c>
      <c r="C63">
        <v>98</v>
      </c>
      <c r="D63">
        <v>20</v>
      </c>
      <c r="E63">
        <v>20</v>
      </c>
      <c r="F63">
        <v>6</v>
      </c>
      <c r="G63">
        <v>5</v>
      </c>
      <c r="H63">
        <v>7</v>
      </c>
      <c r="I63">
        <v>4</v>
      </c>
      <c r="J63">
        <v>30</v>
      </c>
      <c r="K63">
        <v>2</v>
      </c>
    </row>
    <row r="65" spans="1:14" x14ac:dyDescent="0.25">
      <c r="I65" t="s">
        <v>216</v>
      </c>
      <c r="J65" t="s">
        <v>217</v>
      </c>
      <c r="K65" t="s">
        <v>218</v>
      </c>
      <c r="L65" t="s">
        <v>219</v>
      </c>
      <c r="M65" t="s">
        <v>220</v>
      </c>
      <c r="N65" t="s">
        <v>221</v>
      </c>
    </row>
    <row r="66" spans="1:14" x14ac:dyDescent="0.25">
      <c r="I66">
        <f>SUM(I2:I63)</f>
        <v>1556</v>
      </c>
      <c r="J66">
        <f t="shared" ref="J66:K66" si="0">SUM(J2:J63)</f>
        <v>3786</v>
      </c>
      <c r="K66">
        <f t="shared" si="0"/>
        <v>870</v>
      </c>
      <c r="L66">
        <f>K66/J66</f>
        <v>0.22979397781299524</v>
      </c>
      <c r="M66">
        <f>K66/I66</f>
        <v>0.55912596401028281</v>
      </c>
      <c r="N66">
        <f>2*L66*M66/(L66+M66)</f>
        <v>0.32572070385623364</v>
      </c>
    </row>
    <row r="67" spans="1:14" x14ac:dyDescent="0.25">
      <c r="A67" t="s">
        <v>215</v>
      </c>
      <c r="D67">
        <f>AVERAGE(D2:D63)</f>
        <v>227.7258064516129</v>
      </c>
      <c r="E67">
        <f t="shared" ref="E67:H67" si="1">AVERAGE(E2:E63)</f>
        <v>226.51612903225808</v>
      </c>
      <c r="F67">
        <f t="shared" si="1"/>
        <v>168.37096774193549</v>
      </c>
      <c r="G67">
        <f t="shared" si="1"/>
        <v>119.38709677419355</v>
      </c>
      <c r="H67">
        <f t="shared" si="1"/>
        <v>196.16129032258064</v>
      </c>
    </row>
    <row r="69" spans="1:14" x14ac:dyDescent="0.25">
      <c r="A69" t="s">
        <v>222</v>
      </c>
      <c r="D69">
        <f>COUNTIF(D2:D63,"&lt;=1")</f>
        <v>1</v>
      </c>
      <c r="E69">
        <f t="shared" ref="E69:H69" si="2">COUNTIF(E2:E63,"&lt;=1")</f>
        <v>1</v>
      </c>
      <c r="F69">
        <f t="shared" si="2"/>
        <v>1</v>
      </c>
      <c r="G69">
        <f t="shared" si="2"/>
        <v>0</v>
      </c>
      <c r="H69">
        <f t="shared" si="2"/>
        <v>0</v>
      </c>
    </row>
    <row r="70" spans="1:14" x14ac:dyDescent="0.25">
      <c r="A70" t="s">
        <v>223</v>
      </c>
      <c r="D70">
        <f>COUNTIF(D2:D63,"&lt;=5")</f>
        <v>2</v>
      </c>
      <c r="E70">
        <f t="shared" ref="E70:H70" si="3">COUNTIF(E2:E63,"&lt;=5")</f>
        <v>2</v>
      </c>
      <c r="F70">
        <f t="shared" si="3"/>
        <v>1</v>
      </c>
      <c r="G70">
        <f t="shared" si="3"/>
        <v>5</v>
      </c>
      <c r="H70">
        <f t="shared" si="3"/>
        <v>5</v>
      </c>
    </row>
    <row r="71" spans="1:14" x14ac:dyDescent="0.25">
      <c r="A71" t="s">
        <v>224</v>
      </c>
      <c r="D71">
        <f>COUNTIF(D2:D63,"&lt;=10")</f>
        <v>6</v>
      </c>
      <c r="E71">
        <f t="shared" ref="E71:H71" si="4">COUNTIF(E2:E63,"&lt;=10")</f>
        <v>6</v>
      </c>
      <c r="F71">
        <f t="shared" si="4"/>
        <v>6</v>
      </c>
      <c r="G71">
        <f t="shared" si="4"/>
        <v>6</v>
      </c>
      <c r="H71">
        <f t="shared" si="4"/>
        <v>7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CD1A2-5C83-4DEE-AD75-1F3FA703DCD7}">
  <dimension ref="A1:N34"/>
  <sheetViews>
    <sheetView topLeftCell="A13" workbookViewId="0">
      <selection activeCell="A28" sqref="A28:XFD35"/>
    </sheetView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171</v>
      </c>
      <c r="B2" t="s">
        <v>172</v>
      </c>
      <c r="C2">
        <v>10</v>
      </c>
      <c r="D2">
        <v>338</v>
      </c>
      <c r="E2">
        <v>338</v>
      </c>
      <c r="F2">
        <v>67</v>
      </c>
      <c r="G2">
        <v>157</v>
      </c>
      <c r="H2">
        <v>249</v>
      </c>
      <c r="I2">
        <v>26</v>
      </c>
      <c r="J2">
        <v>668</v>
      </c>
      <c r="K2">
        <v>26</v>
      </c>
    </row>
    <row r="3" spans="1:11" x14ac:dyDescent="0.25">
      <c r="A3" t="s">
        <v>173</v>
      </c>
      <c r="B3" t="s">
        <v>172</v>
      </c>
      <c r="C3">
        <v>11</v>
      </c>
      <c r="D3">
        <v>239</v>
      </c>
      <c r="E3">
        <v>239</v>
      </c>
      <c r="F3">
        <v>4</v>
      </c>
      <c r="G3">
        <v>186</v>
      </c>
      <c r="H3">
        <v>13</v>
      </c>
      <c r="I3">
        <v>3</v>
      </c>
      <c r="J3">
        <v>839</v>
      </c>
      <c r="K3">
        <v>3</v>
      </c>
    </row>
    <row r="4" spans="1:11" x14ac:dyDescent="0.25">
      <c r="A4" t="s">
        <v>174</v>
      </c>
      <c r="B4" t="s">
        <v>172</v>
      </c>
      <c r="C4">
        <v>12</v>
      </c>
      <c r="D4">
        <v>140</v>
      </c>
      <c r="E4">
        <v>137</v>
      </c>
      <c r="F4">
        <v>171</v>
      </c>
      <c r="G4">
        <v>278</v>
      </c>
      <c r="H4">
        <v>146</v>
      </c>
      <c r="I4">
        <v>3</v>
      </c>
      <c r="J4">
        <v>5</v>
      </c>
      <c r="K4">
        <v>2</v>
      </c>
    </row>
    <row r="5" spans="1:11" x14ac:dyDescent="0.25">
      <c r="A5" t="s">
        <v>175</v>
      </c>
      <c r="B5" t="s">
        <v>172</v>
      </c>
      <c r="C5">
        <v>13</v>
      </c>
      <c r="D5">
        <v>74</v>
      </c>
      <c r="E5">
        <v>74</v>
      </c>
      <c r="F5">
        <v>67</v>
      </c>
      <c r="G5">
        <v>111</v>
      </c>
      <c r="H5">
        <v>17</v>
      </c>
      <c r="I5">
        <v>280</v>
      </c>
      <c r="J5">
        <v>520</v>
      </c>
      <c r="K5">
        <v>280</v>
      </c>
    </row>
    <row r="6" spans="1:11" x14ac:dyDescent="0.25">
      <c r="A6" t="s">
        <v>176</v>
      </c>
      <c r="B6" t="s">
        <v>172</v>
      </c>
      <c r="C6">
        <v>14</v>
      </c>
      <c r="D6">
        <v>74</v>
      </c>
      <c r="E6">
        <v>74</v>
      </c>
      <c r="F6">
        <v>73</v>
      </c>
      <c r="G6">
        <v>142</v>
      </c>
      <c r="H6">
        <v>17</v>
      </c>
      <c r="I6">
        <v>291</v>
      </c>
      <c r="J6">
        <v>515</v>
      </c>
      <c r="K6">
        <v>279</v>
      </c>
    </row>
    <row r="7" spans="1:11" x14ac:dyDescent="0.25">
      <c r="A7" t="s">
        <v>177</v>
      </c>
      <c r="B7" t="s">
        <v>172</v>
      </c>
      <c r="C7">
        <v>16</v>
      </c>
      <c r="D7">
        <v>155</v>
      </c>
      <c r="E7">
        <v>155</v>
      </c>
      <c r="F7">
        <v>240</v>
      </c>
      <c r="G7">
        <v>81</v>
      </c>
      <c r="H7">
        <v>1</v>
      </c>
      <c r="I7">
        <v>630</v>
      </c>
      <c r="J7">
        <v>477</v>
      </c>
      <c r="K7">
        <v>477</v>
      </c>
    </row>
    <row r="8" spans="1:11" x14ac:dyDescent="0.25">
      <c r="A8" t="s">
        <v>178</v>
      </c>
      <c r="B8" t="s">
        <v>172</v>
      </c>
      <c r="C8">
        <v>17</v>
      </c>
      <c r="D8">
        <v>2</v>
      </c>
      <c r="E8">
        <v>2</v>
      </c>
      <c r="F8">
        <v>4</v>
      </c>
      <c r="G8">
        <v>6</v>
      </c>
      <c r="H8">
        <v>32</v>
      </c>
      <c r="I8">
        <v>627</v>
      </c>
      <c r="J8">
        <v>625</v>
      </c>
      <c r="K8">
        <v>625</v>
      </c>
    </row>
    <row r="9" spans="1:11" x14ac:dyDescent="0.25">
      <c r="A9" t="s">
        <v>179</v>
      </c>
      <c r="B9" t="s">
        <v>172</v>
      </c>
      <c r="C9">
        <v>18</v>
      </c>
      <c r="D9">
        <v>289</v>
      </c>
      <c r="E9">
        <v>289</v>
      </c>
      <c r="F9">
        <v>183</v>
      </c>
      <c r="G9">
        <v>115</v>
      </c>
      <c r="H9">
        <v>211</v>
      </c>
      <c r="I9">
        <v>476</v>
      </c>
      <c r="J9">
        <v>988</v>
      </c>
      <c r="K9">
        <v>463</v>
      </c>
    </row>
    <row r="10" spans="1:11" x14ac:dyDescent="0.25">
      <c r="A10" t="s">
        <v>180</v>
      </c>
      <c r="B10" t="s">
        <v>172</v>
      </c>
      <c r="C10">
        <v>2</v>
      </c>
      <c r="D10">
        <v>1</v>
      </c>
      <c r="E10">
        <v>1</v>
      </c>
      <c r="F10">
        <v>21</v>
      </c>
      <c r="G10">
        <v>2</v>
      </c>
      <c r="H10">
        <v>186</v>
      </c>
      <c r="I10">
        <v>12</v>
      </c>
      <c r="J10">
        <v>2</v>
      </c>
      <c r="K10">
        <v>1</v>
      </c>
    </row>
    <row r="11" spans="1:11" x14ac:dyDescent="0.25">
      <c r="A11" t="s">
        <v>181</v>
      </c>
      <c r="B11" t="s">
        <v>172</v>
      </c>
      <c r="C11">
        <v>20</v>
      </c>
      <c r="D11">
        <v>20</v>
      </c>
      <c r="E11">
        <v>20</v>
      </c>
      <c r="F11">
        <v>118</v>
      </c>
      <c r="G11">
        <v>82</v>
      </c>
      <c r="H11">
        <v>547</v>
      </c>
      <c r="I11">
        <v>1037</v>
      </c>
      <c r="J11">
        <v>1037</v>
      </c>
      <c r="K11">
        <v>1037</v>
      </c>
    </row>
    <row r="12" spans="1:11" x14ac:dyDescent="0.25">
      <c r="A12" t="s">
        <v>182</v>
      </c>
      <c r="B12" t="s">
        <v>172</v>
      </c>
      <c r="C12">
        <v>21</v>
      </c>
      <c r="D12">
        <v>219</v>
      </c>
      <c r="E12">
        <v>219</v>
      </c>
      <c r="F12">
        <v>7</v>
      </c>
      <c r="G12">
        <v>8</v>
      </c>
      <c r="H12">
        <v>14</v>
      </c>
      <c r="I12">
        <v>1</v>
      </c>
      <c r="J12">
        <v>10</v>
      </c>
      <c r="K12">
        <v>1</v>
      </c>
    </row>
    <row r="13" spans="1:11" x14ac:dyDescent="0.25">
      <c r="A13" t="s">
        <v>183</v>
      </c>
      <c r="B13" t="s">
        <v>172</v>
      </c>
      <c r="C13">
        <v>22</v>
      </c>
      <c r="D13">
        <v>201</v>
      </c>
      <c r="E13">
        <v>201</v>
      </c>
      <c r="F13">
        <v>150</v>
      </c>
      <c r="G13">
        <v>102</v>
      </c>
      <c r="H13">
        <v>167</v>
      </c>
      <c r="I13">
        <v>265</v>
      </c>
      <c r="J13">
        <v>550</v>
      </c>
      <c r="K13">
        <v>258</v>
      </c>
    </row>
    <row r="14" spans="1:11" x14ac:dyDescent="0.25">
      <c r="A14" t="s">
        <v>184</v>
      </c>
      <c r="B14" t="s">
        <v>172</v>
      </c>
      <c r="C14">
        <v>23</v>
      </c>
      <c r="D14">
        <v>390</v>
      </c>
      <c r="E14">
        <v>393</v>
      </c>
      <c r="F14">
        <v>46</v>
      </c>
      <c r="G14">
        <v>194</v>
      </c>
      <c r="H14">
        <v>1</v>
      </c>
      <c r="I14">
        <v>1005</v>
      </c>
      <c r="J14">
        <v>636</v>
      </c>
      <c r="K14">
        <v>636</v>
      </c>
    </row>
    <row r="15" spans="1:11" x14ac:dyDescent="0.25">
      <c r="A15" t="s">
        <v>185</v>
      </c>
      <c r="B15" t="s">
        <v>172</v>
      </c>
      <c r="C15">
        <v>24</v>
      </c>
      <c r="D15">
        <v>651</v>
      </c>
      <c r="E15">
        <v>651</v>
      </c>
      <c r="F15">
        <v>81</v>
      </c>
      <c r="G15">
        <v>394</v>
      </c>
      <c r="H15">
        <v>217</v>
      </c>
      <c r="I15">
        <v>4</v>
      </c>
      <c r="J15">
        <v>653</v>
      </c>
      <c r="K15">
        <v>4</v>
      </c>
    </row>
    <row r="16" spans="1:11" x14ac:dyDescent="0.25">
      <c r="A16" t="s">
        <v>186</v>
      </c>
      <c r="B16" t="s">
        <v>172</v>
      </c>
      <c r="C16">
        <v>25</v>
      </c>
      <c r="D16">
        <v>347</v>
      </c>
      <c r="E16">
        <v>353</v>
      </c>
      <c r="F16">
        <v>47</v>
      </c>
      <c r="G16">
        <v>219</v>
      </c>
      <c r="H16">
        <v>200</v>
      </c>
      <c r="I16">
        <v>17</v>
      </c>
      <c r="J16">
        <v>642</v>
      </c>
      <c r="K16">
        <v>17</v>
      </c>
    </row>
    <row r="17" spans="1:14" x14ac:dyDescent="0.25">
      <c r="A17" t="s">
        <v>187</v>
      </c>
      <c r="B17" t="s">
        <v>172</v>
      </c>
      <c r="C17">
        <v>26</v>
      </c>
      <c r="D17">
        <v>456</v>
      </c>
      <c r="E17">
        <v>453</v>
      </c>
      <c r="F17">
        <v>84</v>
      </c>
      <c r="G17">
        <v>39</v>
      </c>
      <c r="H17">
        <v>90</v>
      </c>
      <c r="I17">
        <v>556</v>
      </c>
      <c r="J17">
        <v>382</v>
      </c>
      <c r="K17">
        <v>289</v>
      </c>
    </row>
    <row r="18" spans="1:14" x14ac:dyDescent="0.25">
      <c r="A18" t="s">
        <v>188</v>
      </c>
      <c r="B18" t="s">
        <v>172</v>
      </c>
      <c r="C18">
        <v>27</v>
      </c>
      <c r="D18">
        <v>581</v>
      </c>
      <c r="E18">
        <v>583</v>
      </c>
      <c r="F18">
        <v>584</v>
      </c>
      <c r="G18">
        <v>202</v>
      </c>
      <c r="H18">
        <v>115</v>
      </c>
      <c r="I18">
        <v>22</v>
      </c>
      <c r="J18">
        <v>589</v>
      </c>
      <c r="K18">
        <v>11</v>
      </c>
    </row>
    <row r="19" spans="1:14" x14ac:dyDescent="0.25">
      <c r="A19" t="s">
        <v>189</v>
      </c>
      <c r="B19" t="s">
        <v>172</v>
      </c>
      <c r="C19">
        <v>28</v>
      </c>
      <c r="D19">
        <v>175</v>
      </c>
      <c r="E19">
        <v>175</v>
      </c>
      <c r="F19">
        <v>252</v>
      </c>
      <c r="G19">
        <v>209</v>
      </c>
      <c r="H19">
        <v>144</v>
      </c>
      <c r="I19">
        <v>26</v>
      </c>
      <c r="J19">
        <v>9</v>
      </c>
      <c r="K19">
        <v>9</v>
      </c>
    </row>
    <row r="20" spans="1:14" x14ac:dyDescent="0.25">
      <c r="A20" t="s">
        <v>190</v>
      </c>
      <c r="B20" t="s">
        <v>172</v>
      </c>
      <c r="C20">
        <v>3</v>
      </c>
      <c r="D20">
        <v>614</v>
      </c>
      <c r="E20">
        <v>577</v>
      </c>
      <c r="F20">
        <v>49</v>
      </c>
      <c r="G20">
        <v>133</v>
      </c>
      <c r="H20">
        <v>821</v>
      </c>
      <c r="I20">
        <v>26</v>
      </c>
      <c r="J20">
        <v>620</v>
      </c>
      <c r="K20">
        <v>26</v>
      </c>
    </row>
    <row r="21" spans="1:14" x14ac:dyDescent="0.25">
      <c r="A21" t="s">
        <v>191</v>
      </c>
      <c r="B21" t="s">
        <v>172</v>
      </c>
      <c r="C21">
        <v>32</v>
      </c>
      <c r="D21">
        <v>376</v>
      </c>
      <c r="E21">
        <v>400</v>
      </c>
      <c r="F21">
        <v>645</v>
      </c>
      <c r="G21">
        <v>212</v>
      </c>
      <c r="H21">
        <v>116</v>
      </c>
      <c r="I21">
        <v>14</v>
      </c>
      <c r="J21">
        <v>532</v>
      </c>
      <c r="K21">
        <v>2</v>
      </c>
    </row>
    <row r="22" spans="1:14" x14ac:dyDescent="0.25">
      <c r="A22" t="s">
        <v>192</v>
      </c>
      <c r="B22" t="s">
        <v>172</v>
      </c>
      <c r="C22">
        <v>33</v>
      </c>
      <c r="D22">
        <v>380</v>
      </c>
      <c r="E22">
        <v>161</v>
      </c>
      <c r="F22">
        <v>274</v>
      </c>
      <c r="G22">
        <v>241</v>
      </c>
      <c r="H22">
        <v>371</v>
      </c>
      <c r="I22">
        <v>428</v>
      </c>
      <c r="J22">
        <v>518</v>
      </c>
      <c r="K22">
        <v>413</v>
      </c>
    </row>
    <row r="23" spans="1:14" x14ac:dyDescent="0.25">
      <c r="A23" t="s">
        <v>193</v>
      </c>
      <c r="B23" t="s">
        <v>172</v>
      </c>
      <c r="C23">
        <v>34</v>
      </c>
      <c r="D23">
        <v>413</v>
      </c>
      <c r="E23">
        <v>408</v>
      </c>
      <c r="F23">
        <v>86</v>
      </c>
      <c r="G23">
        <v>121</v>
      </c>
      <c r="H23">
        <v>118</v>
      </c>
      <c r="I23">
        <v>234</v>
      </c>
      <c r="J23">
        <v>456</v>
      </c>
      <c r="K23">
        <v>233</v>
      </c>
    </row>
    <row r="24" spans="1:14" x14ac:dyDescent="0.25">
      <c r="A24" t="s">
        <v>194</v>
      </c>
      <c r="B24" t="s">
        <v>172</v>
      </c>
      <c r="C24">
        <v>35</v>
      </c>
      <c r="D24">
        <v>424</v>
      </c>
      <c r="E24">
        <v>424</v>
      </c>
      <c r="F24">
        <v>85</v>
      </c>
      <c r="G24">
        <v>144</v>
      </c>
      <c r="H24">
        <v>23</v>
      </c>
      <c r="I24">
        <v>21</v>
      </c>
      <c r="J24">
        <v>461</v>
      </c>
      <c r="K24">
        <v>21</v>
      </c>
    </row>
    <row r="25" spans="1:14" x14ac:dyDescent="0.25">
      <c r="A25" t="s">
        <v>195</v>
      </c>
      <c r="B25" t="s">
        <v>172</v>
      </c>
      <c r="C25">
        <v>37</v>
      </c>
      <c r="D25">
        <v>381</v>
      </c>
      <c r="E25">
        <v>384</v>
      </c>
      <c r="F25">
        <v>204</v>
      </c>
      <c r="G25">
        <v>261</v>
      </c>
      <c r="H25">
        <v>252</v>
      </c>
      <c r="I25">
        <v>166</v>
      </c>
      <c r="J25">
        <v>246</v>
      </c>
      <c r="K25">
        <v>159</v>
      </c>
    </row>
    <row r="26" spans="1:14" x14ac:dyDescent="0.25">
      <c r="A26" t="s">
        <v>196</v>
      </c>
      <c r="B26" t="s">
        <v>172</v>
      </c>
      <c r="C26">
        <v>6</v>
      </c>
      <c r="D26">
        <v>860</v>
      </c>
      <c r="E26">
        <v>860</v>
      </c>
      <c r="F26">
        <v>39</v>
      </c>
      <c r="G26">
        <v>396</v>
      </c>
      <c r="H26">
        <v>91</v>
      </c>
      <c r="I26">
        <v>79</v>
      </c>
      <c r="J26">
        <v>660</v>
      </c>
      <c r="K26">
        <v>72</v>
      </c>
    </row>
    <row r="28" spans="1:14" x14ac:dyDescent="0.25">
      <c r="I28" t="s">
        <v>216</v>
      </c>
      <c r="J28" t="s">
        <v>217</v>
      </c>
      <c r="K28" t="s">
        <v>218</v>
      </c>
      <c r="L28" t="s">
        <v>219</v>
      </c>
      <c r="M28" t="s">
        <v>220</v>
      </c>
      <c r="N28" t="s">
        <v>221</v>
      </c>
    </row>
    <row r="29" spans="1:14" x14ac:dyDescent="0.25">
      <c r="I29">
        <f>SUM(I2:I26)</f>
        <v>6249</v>
      </c>
      <c r="J29">
        <f t="shared" ref="J29:K29" si="0">SUM(J2:J26)</f>
        <v>12640</v>
      </c>
      <c r="K29">
        <f t="shared" si="0"/>
        <v>5344</v>
      </c>
      <c r="L29">
        <f>K29/J29</f>
        <v>0.42278481012658226</v>
      </c>
      <c r="M29">
        <f>K29/I29</f>
        <v>0.85517682829252684</v>
      </c>
      <c r="N29">
        <f>2*L29*M29/(L29+M29)</f>
        <v>0.56583196569431948</v>
      </c>
    </row>
    <row r="30" spans="1:14" x14ac:dyDescent="0.25">
      <c r="A30" t="s">
        <v>215</v>
      </c>
      <c r="D30">
        <f>AVERAGE(D2:D26)</f>
        <v>312</v>
      </c>
      <c r="E30">
        <f t="shared" ref="E30:H30" si="1">AVERAGE(E2:E26)</f>
        <v>302.83999999999997</v>
      </c>
      <c r="F30">
        <f t="shared" si="1"/>
        <v>143.24</v>
      </c>
      <c r="G30">
        <f t="shared" si="1"/>
        <v>161.4</v>
      </c>
      <c r="H30">
        <f t="shared" si="1"/>
        <v>166.36</v>
      </c>
    </row>
    <row r="32" spans="1:14" x14ac:dyDescent="0.25">
      <c r="A32" t="s">
        <v>222</v>
      </c>
      <c r="D32">
        <f>COUNTIF(D2:D26,"&lt;=1")</f>
        <v>1</v>
      </c>
      <c r="E32">
        <f t="shared" ref="E32:H32" si="2">COUNTIF(E2:E26,"&lt;=1")</f>
        <v>1</v>
      </c>
      <c r="F32">
        <f t="shared" si="2"/>
        <v>0</v>
      </c>
      <c r="G32">
        <f t="shared" si="2"/>
        <v>0</v>
      </c>
      <c r="H32">
        <f t="shared" si="2"/>
        <v>2</v>
      </c>
    </row>
    <row r="33" spans="1:8" x14ac:dyDescent="0.25">
      <c r="A33" t="s">
        <v>223</v>
      </c>
      <c r="D33">
        <f>COUNTIF(D2:D26,"&lt;=5")</f>
        <v>2</v>
      </c>
      <c r="E33">
        <f t="shared" ref="E33:H33" si="3">COUNTIF(E2:E26,"&lt;=5")</f>
        <v>2</v>
      </c>
      <c r="F33">
        <f t="shared" si="3"/>
        <v>2</v>
      </c>
      <c r="G33">
        <f t="shared" si="3"/>
        <v>1</v>
      </c>
      <c r="H33">
        <f t="shared" si="3"/>
        <v>2</v>
      </c>
    </row>
    <row r="34" spans="1:8" x14ac:dyDescent="0.25">
      <c r="A34" t="s">
        <v>224</v>
      </c>
      <c r="D34">
        <f>COUNTIF(D2:D26,"&lt;=10")</f>
        <v>2</v>
      </c>
      <c r="E34">
        <f t="shared" ref="E34:H34" si="4">COUNTIF(E2:E26,"&lt;=10")</f>
        <v>2</v>
      </c>
      <c r="F34">
        <f t="shared" si="4"/>
        <v>3</v>
      </c>
      <c r="G34">
        <f t="shared" si="4"/>
        <v>3</v>
      </c>
      <c r="H34">
        <f t="shared" si="4"/>
        <v>2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C4FFD-D00B-4D7B-A5A7-0FCBFE8412BE}">
  <dimension ref="A1:N26"/>
  <sheetViews>
    <sheetView topLeftCell="A7" workbookViewId="0">
      <selection activeCell="A20" sqref="A20:XFD27"/>
    </sheetView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197</v>
      </c>
      <c r="B2" t="s">
        <v>198</v>
      </c>
      <c r="C2">
        <v>1</v>
      </c>
      <c r="D2">
        <v>989</v>
      </c>
      <c r="E2">
        <v>989</v>
      </c>
      <c r="F2">
        <v>18</v>
      </c>
      <c r="G2">
        <v>521</v>
      </c>
      <c r="H2">
        <v>23</v>
      </c>
      <c r="I2">
        <v>140</v>
      </c>
      <c r="J2">
        <v>3419</v>
      </c>
      <c r="K2">
        <v>140</v>
      </c>
    </row>
    <row r="3" spans="1:11" x14ac:dyDescent="0.25">
      <c r="A3" t="s">
        <v>199</v>
      </c>
      <c r="B3" t="s">
        <v>198</v>
      </c>
      <c r="C3">
        <v>10</v>
      </c>
      <c r="D3">
        <v>1384</v>
      </c>
      <c r="E3">
        <v>1365</v>
      </c>
      <c r="F3">
        <v>223</v>
      </c>
      <c r="G3">
        <v>1210</v>
      </c>
      <c r="H3">
        <v>1310</v>
      </c>
      <c r="I3">
        <v>10</v>
      </c>
      <c r="J3">
        <v>175</v>
      </c>
      <c r="K3">
        <v>10</v>
      </c>
    </row>
    <row r="4" spans="1:11" x14ac:dyDescent="0.25">
      <c r="A4" t="s">
        <v>200</v>
      </c>
      <c r="B4" t="s">
        <v>198</v>
      </c>
      <c r="C4">
        <v>11</v>
      </c>
      <c r="D4">
        <v>402</v>
      </c>
      <c r="E4">
        <v>402</v>
      </c>
      <c r="F4">
        <v>412</v>
      </c>
      <c r="G4">
        <v>157</v>
      </c>
      <c r="H4">
        <v>1036</v>
      </c>
      <c r="I4">
        <v>3</v>
      </c>
      <c r="J4">
        <v>1</v>
      </c>
      <c r="K4">
        <v>1</v>
      </c>
    </row>
    <row r="5" spans="1:11" x14ac:dyDescent="0.25">
      <c r="A5" t="s">
        <v>201</v>
      </c>
      <c r="B5" t="s">
        <v>198</v>
      </c>
      <c r="C5">
        <v>12</v>
      </c>
      <c r="D5">
        <v>1531</v>
      </c>
      <c r="E5">
        <v>1527</v>
      </c>
      <c r="F5">
        <v>2</v>
      </c>
      <c r="G5">
        <v>214</v>
      </c>
      <c r="H5">
        <v>708</v>
      </c>
      <c r="I5">
        <v>16</v>
      </c>
      <c r="J5">
        <v>851</v>
      </c>
      <c r="K5">
        <v>16</v>
      </c>
    </row>
    <row r="6" spans="1:11" x14ac:dyDescent="0.25">
      <c r="A6" t="s">
        <v>202</v>
      </c>
      <c r="B6" t="s">
        <v>198</v>
      </c>
      <c r="C6">
        <v>14</v>
      </c>
      <c r="D6">
        <v>2003</v>
      </c>
      <c r="E6">
        <v>1986</v>
      </c>
      <c r="F6">
        <v>377</v>
      </c>
      <c r="G6">
        <v>1448</v>
      </c>
      <c r="H6">
        <v>648</v>
      </c>
      <c r="I6">
        <v>13</v>
      </c>
      <c r="J6">
        <v>959</v>
      </c>
      <c r="K6">
        <v>7</v>
      </c>
    </row>
    <row r="7" spans="1:11" x14ac:dyDescent="0.25">
      <c r="A7" t="s">
        <v>203</v>
      </c>
      <c r="B7" t="s">
        <v>198</v>
      </c>
      <c r="C7">
        <v>17</v>
      </c>
      <c r="D7">
        <v>1050</v>
      </c>
      <c r="E7">
        <v>1050</v>
      </c>
      <c r="F7">
        <v>343</v>
      </c>
      <c r="G7">
        <v>282</v>
      </c>
      <c r="H7">
        <v>558</v>
      </c>
      <c r="I7">
        <v>2</v>
      </c>
      <c r="J7">
        <v>3280</v>
      </c>
      <c r="K7">
        <v>2</v>
      </c>
    </row>
    <row r="8" spans="1:11" x14ac:dyDescent="0.25">
      <c r="A8" t="s">
        <v>204</v>
      </c>
      <c r="B8" t="s">
        <v>198</v>
      </c>
      <c r="C8">
        <v>18</v>
      </c>
      <c r="D8">
        <v>1091</v>
      </c>
      <c r="E8">
        <v>1074</v>
      </c>
      <c r="F8">
        <v>49</v>
      </c>
      <c r="G8">
        <v>632</v>
      </c>
      <c r="H8">
        <v>740</v>
      </c>
      <c r="I8">
        <v>18</v>
      </c>
      <c r="J8">
        <v>964</v>
      </c>
      <c r="K8">
        <v>18</v>
      </c>
    </row>
    <row r="9" spans="1:11" x14ac:dyDescent="0.25">
      <c r="A9" t="s">
        <v>205</v>
      </c>
      <c r="B9" t="s">
        <v>198</v>
      </c>
      <c r="C9">
        <v>19</v>
      </c>
      <c r="D9">
        <v>1234</v>
      </c>
      <c r="E9">
        <v>1234</v>
      </c>
      <c r="F9">
        <v>11</v>
      </c>
      <c r="G9">
        <v>705</v>
      </c>
      <c r="H9">
        <v>938</v>
      </c>
      <c r="I9">
        <v>718</v>
      </c>
      <c r="J9">
        <v>3270</v>
      </c>
      <c r="K9">
        <v>718</v>
      </c>
    </row>
    <row r="10" spans="1:11" x14ac:dyDescent="0.25">
      <c r="A10" t="s">
        <v>206</v>
      </c>
      <c r="B10" t="s">
        <v>198</v>
      </c>
      <c r="C10">
        <v>2</v>
      </c>
      <c r="D10">
        <v>1648</v>
      </c>
      <c r="E10">
        <v>1646</v>
      </c>
      <c r="F10">
        <v>383</v>
      </c>
      <c r="G10">
        <v>581</v>
      </c>
      <c r="H10">
        <v>109</v>
      </c>
      <c r="I10">
        <v>139</v>
      </c>
      <c r="J10">
        <v>1000</v>
      </c>
      <c r="K10">
        <v>81</v>
      </c>
    </row>
    <row r="11" spans="1:11" x14ac:dyDescent="0.25">
      <c r="A11" t="s">
        <v>207</v>
      </c>
      <c r="B11" t="s">
        <v>198</v>
      </c>
      <c r="C11">
        <v>21</v>
      </c>
      <c r="D11">
        <v>992</v>
      </c>
      <c r="E11">
        <v>992</v>
      </c>
      <c r="F11">
        <v>238</v>
      </c>
      <c r="G11">
        <v>102</v>
      </c>
      <c r="H11">
        <v>25</v>
      </c>
      <c r="I11">
        <v>22</v>
      </c>
      <c r="J11">
        <v>3265</v>
      </c>
      <c r="K11">
        <v>22</v>
      </c>
    </row>
    <row r="12" spans="1:11" x14ac:dyDescent="0.25">
      <c r="A12" t="s">
        <v>208</v>
      </c>
      <c r="B12" t="s">
        <v>198</v>
      </c>
      <c r="C12">
        <v>22</v>
      </c>
      <c r="D12">
        <v>1034</v>
      </c>
      <c r="E12">
        <v>1025</v>
      </c>
      <c r="F12">
        <v>111</v>
      </c>
      <c r="G12">
        <v>196</v>
      </c>
      <c r="H12">
        <v>769</v>
      </c>
      <c r="I12">
        <v>48</v>
      </c>
      <c r="J12">
        <v>1588</v>
      </c>
      <c r="K12">
        <v>48</v>
      </c>
    </row>
    <row r="13" spans="1:11" x14ac:dyDescent="0.25">
      <c r="A13" t="s">
        <v>209</v>
      </c>
      <c r="B13" t="s">
        <v>198</v>
      </c>
      <c r="C13">
        <v>23</v>
      </c>
      <c r="D13">
        <v>226</v>
      </c>
      <c r="E13">
        <v>226</v>
      </c>
      <c r="F13">
        <v>38</v>
      </c>
      <c r="G13">
        <v>41</v>
      </c>
      <c r="H13">
        <v>59</v>
      </c>
      <c r="I13">
        <v>7</v>
      </c>
      <c r="J13">
        <v>3237</v>
      </c>
      <c r="K13">
        <v>7</v>
      </c>
    </row>
    <row r="14" spans="1:11" x14ac:dyDescent="0.25">
      <c r="A14" t="s">
        <v>210</v>
      </c>
      <c r="B14" t="s">
        <v>198</v>
      </c>
      <c r="C14">
        <v>27</v>
      </c>
      <c r="D14">
        <v>992</v>
      </c>
      <c r="E14">
        <v>1002</v>
      </c>
      <c r="F14">
        <v>1246</v>
      </c>
      <c r="G14">
        <v>668</v>
      </c>
      <c r="H14">
        <v>344</v>
      </c>
      <c r="I14">
        <v>297</v>
      </c>
      <c r="J14">
        <v>538</v>
      </c>
      <c r="K14">
        <v>150</v>
      </c>
    </row>
    <row r="15" spans="1:11" x14ac:dyDescent="0.25">
      <c r="A15" t="s">
        <v>211</v>
      </c>
      <c r="B15" t="s">
        <v>198</v>
      </c>
      <c r="C15">
        <v>3</v>
      </c>
      <c r="D15">
        <v>1792</v>
      </c>
      <c r="E15">
        <v>1788</v>
      </c>
      <c r="F15">
        <v>59</v>
      </c>
      <c r="G15">
        <v>167</v>
      </c>
      <c r="H15">
        <v>700</v>
      </c>
      <c r="I15">
        <v>19</v>
      </c>
      <c r="J15">
        <v>434</v>
      </c>
      <c r="K15">
        <v>18</v>
      </c>
    </row>
    <row r="16" spans="1:11" x14ac:dyDescent="0.25">
      <c r="A16" t="s">
        <v>212</v>
      </c>
      <c r="B16" t="s">
        <v>198</v>
      </c>
      <c r="C16">
        <v>4</v>
      </c>
      <c r="D16">
        <v>1686</v>
      </c>
      <c r="E16">
        <v>1685</v>
      </c>
      <c r="F16">
        <v>728</v>
      </c>
      <c r="G16">
        <v>524</v>
      </c>
      <c r="H16">
        <v>1699</v>
      </c>
      <c r="I16">
        <v>24</v>
      </c>
      <c r="J16">
        <v>512</v>
      </c>
      <c r="K16">
        <v>19</v>
      </c>
    </row>
    <row r="17" spans="1:14" x14ac:dyDescent="0.25">
      <c r="A17" t="s">
        <v>213</v>
      </c>
      <c r="B17" t="s">
        <v>198</v>
      </c>
      <c r="C17">
        <v>7</v>
      </c>
      <c r="D17">
        <v>53</v>
      </c>
      <c r="E17">
        <v>53</v>
      </c>
      <c r="F17">
        <v>31</v>
      </c>
      <c r="G17">
        <v>24</v>
      </c>
      <c r="H17">
        <v>67</v>
      </c>
      <c r="I17">
        <v>23</v>
      </c>
      <c r="J17">
        <v>956</v>
      </c>
      <c r="K17">
        <v>23</v>
      </c>
    </row>
    <row r="18" spans="1:14" x14ac:dyDescent="0.25">
      <c r="A18" t="s">
        <v>214</v>
      </c>
      <c r="B18" t="s">
        <v>198</v>
      </c>
      <c r="C18">
        <v>9</v>
      </c>
      <c r="D18">
        <v>426</v>
      </c>
      <c r="E18">
        <v>440</v>
      </c>
      <c r="F18">
        <v>187</v>
      </c>
      <c r="G18">
        <v>139</v>
      </c>
      <c r="H18">
        <v>201</v>
      </c>
      <c r="I18">
        <v>71</v>
      </c>
      <c r="J18">
        <v>1009</v>
      </c>
      <c r="K18">
        <v>42</v>
      </c>
    </row>
    <row r="20" spans="1:14" x14ac:dyDescent="0.25">
      <c r="I20" t="s">
        <v>216</v>
      </c>
      <c r="J20" t="s">
        <v>217</v>
      </c>
      <c r="K20" t="s">
        <v>218</v>
      </c>
      <c r="L20" t="s">
        <v>219</v>
      </c>
      <c r="M20" t="s">
        <v>220</v>
      </c>
      <c r="N20" t="s">
        <v>221</v>
      </c>
    </row>
    <row r="21" spans="1:14" x14ac:dyDescent="0.25">
      <c r="I21">
        <f>SUM(I2:I18)</f>
        <v>1570</v>
      </c>
      <c r="J21">
        <f t="shared" ref="J21:K21" si="0">SUM(J2:J18)</f>
        <v>25458</v>
      </c>
      <c r="K21">
        <f t="shared" si="0"/>
        <v>1322</v>
      </c>
      <c r="L21">
        <f>K21/J21</f>
        <v>5.1928666823788203E-2</v>
      </c>
      <c r="M21">
        <f>K21/I21</f>
        <v>0.84203821656050959</v>
      </c>
      <c r="N21">
        <f>2*L21*M21/(L21+M21)</f>
        <v>9.7824478318780536E-2</v>
      </c>
    </row>
    <row r="22" spans="1:14" x14ac:dyDescent="0.25">
      <c r="A22" t="s">
        <v>215</v>
      </c>
      <c r="D22">
        <f>AVERAGE(D2:D18)</f>
        <v>1090.1764705882354</v>
      </c>
      <c r="E22">
        <f t="shared" ref="E22:H22" si="1">AVERAGE(E2:E18)</f>
        <v>1087.2941176470588</v>
      </c>
      <c r="F22">
        <f t="shared" si="1"/>
        <v>262.11764705882354</v>
      </c>
      <c r="G22">
        <f t="shared" si="1"/>
        <v>447.70588235294116</v>
      </c>
      <c r="H22">
        <f t="shared" si="1"/>
        <v>584.35294117647061</v>
      </c>
    </row>
    <row r="24" spans="1:14" x14ac:dyDescent="0.25">
      <c r="A24" t="s">
        <v>222</v>
      </c>
      <c r="D24">
        <f>COUNTIF(D2:D18,"&lt;=1")</f>
        <v>0</v>
      </c>
      <c r="E24">
        <f t="shared" ref="E24:H24" si="2">COUNTIF(E2:E18,"&lt;=1")</f>
        <v>0</v>
      </c>
      <c r="F24">
        <f t="shared" si="2"/>
        <v>0</v>
      </c>
      <c r="G24">
        <f t="shared" si="2"/>
        <v>0</v>
      </c>
      <c r="H24">
        <f t="shared" si="2"/>
        <v>0</v>
      </c>
    </row>
    <row r="25" spans="1:14" x14ac:dyDescent="0.25">
      <c r="A25" t="s">
        <v>223</v>
      </c>
      <c r="D25">
        <f>COUNTIF(D2:D18,"&lt;=5")</f>
        <v>0</v>
      </c>
      <c r="E25">
        <f t="shared" ref="E25:H25" si="3">COUNTIF(E2:E18,"&lt;=5")</f>
        <v>0</v>
      </c>
      <c r="F25">
        <f t="shared" si="3"/>
        <v>1</v>
      </c>
      <c r="G25">
        <f t="shared" si="3"/>
        <v>0</v>
      </c>
      <c r="H25">
        <f t="shared" si="3"/>
        <v>0</v>
      </c>
    </row>
    <row r="26" spans="1:14" x14ac:dyDescent="0.25">
      <c r="A26" t="s">
        <v>224</v>
      </c>
      <c r="D26">
        <f>COUNTIF(D2:D18,"&lt;=10")</f>
        <v>0</v>
      </c>
      <c r="E26">
        <f t="shared" ref="E26:H26" si="4">COUNTIF(E2:E18,"&lt;=10")</f>
        <v>0</v>
      </c>
      <c r="F26">
        <f t="shared" si="4"/>
        <v>1</v>
      </c>
      <c r="G26">
        <f t="shared" si="4"/>
        <v>0</v>
      </c>
      <c r="H26">
        <f t="shared" si="4"/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context_change_data</vt:lpstr>
      <vt:lpstr>Chart</vt:lpstr>
      <vt:lpstr>Closure</vt:lpstr>
      <vt:lpstr>Lang</vt:lpstr>
      <vt:lpstr>Math</vt:lpstr>
      <vt:lpstr>Mockito</vt:lpstr>
      <vt:lpstr>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喻俊吉</dc:creator>
  <cp:lastModifiedBy>韬 张</cp:lastModifiedBy>
  <dcterms:created xsi:type="dcterms:W3CDTF">2022-01-11T05:42:14Z</dcterms:created>
  <dcterms:modified xsi:type="dcterms:W3CDTF">2024-05-18T08:32:42Z</dcterms:modified>
</cp:coreProperties>
</file>